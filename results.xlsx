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ell.blahota\Documents\onlab\"/>
    </mc:Choice>
  </mc:AlternateContent>
  <xr:revisionPtr revIDLastSave="0" documentId="13_ncr:1_{04FC071B-1EC0-4864-9526-5B087B62DAFE}" xr6:coauthVersionLast="47" xr6:coauthVersionMax="47" xr10:uidLastSave="{00000000-0000-0000-0000-000000000000}"/>
  <bookViews>
    <workbookView xWindow="30612" yWindow="-108" windowWidth="23256" windowHeight="13896" xr2:uid="{CC5D4F9B-C96F-48CF-811B-BBF8F108C44D}"/>
  </bookViews>
  <sheets>
    <sheet name="results_matrix" sheetId="5" r:id="rId1"/>
    <sheet name="comparison" sheetId="4" r:id="rId2"/>
  </sheets>
  <definedNames>
    <definedName name="ExternalData_1" localSheetId="0" hidden="1">'results_matrix'!$A$1:$G$10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5" i="4" l="1"/>
  <c r="E34" i="4"/>
  <c r="E33" i="4"/>
  <c r="E32" i="4"/>
  <c r="E31" i="4"/>
  <c r="E30" i="4"/>
  <c r="E26" i="4"/>
  <c r="E25" i="4"/>
  <c r="E24" i="4"/>
  <c r="E23" i="4"/>
  <c r="E22" i="4"/>
  <c r="E21" i="4"/>
  <c r="E5" i="4"/>
  <c r="E6" i="4"/>
  <c r="E7" i="4"/>
  <c r="E8" i="4"/>
  <c r="E9" i="4"/>
  <c r="E13" i="4"/>
  <c r="E14" i="4"/>
  <c r="E15" i="4"/>
  <c r="E16" i="4"/>
  <c r="E1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DDBE26A-7738-4EBB-AD20-AA7F6C360FB9}" keepAlive="1" name="Lekérdezés - experiment_results" description="A munkafüzetben levő „experiment_results” lekérdezés kapcsolata" type="5" refreshedVersion="8" background="1" saveData="1">
    <dbPr connection="Provider=Microsoft.Mashup.OleDb.1;Data Source=$Workbook$;Location=experiment_results;Extended Properties=&quot;&quot;" command="SELECT * FROM [experiment_results]"/>
  </connection>
  <connection id="2" xr16:uid="{98391CC0-6CCE-4C01-BCD6-2D2B0A5303A3}" keepAlive="1" name="Lekérdezés - experiment_results (2)" description="A munkafüzetben levő „experiment_results (2)” lekérdezés kapcsolata" type="5" refreshedVersion="8" background="1" saveData="1">
    <dbPr connection="Provider=Microsoft.Mashup.OleDb.1;Data Source=$Workbook$;Location=&quot;experiment_results (2)&quot;;Extended Properties=&quot;&quot;" command="SELECT * FROM [experiment_results (2)]"/>
  </connection>
  <connection id="3" xr16:uid="{EAA4AA14-8C3C-4A97-A02A-F3C4BBEDE70D}" keepAlive="1" name="Lekérdezés - results_matrix" description="A munkafüzetben levő „results_matrix” lekérdezés kapcsolata" type="5" refreshedVersion="8" background="1" saveData="1">
    <dbPr connection="Provider=Microsoft.Mashup.OleDb.1;Data Source=$Workbook$;Location=results_matrix;Extended Properties=&quot;&quot;" command="SELECT * FROM [results_matrix]"/>
  </connection>
  <connection id="4" xr16:uid="{8F78A25F-CA8E-44F1-935A-7203D5BC0497}" keepAlive="1" name="Lekérdezés - strategy_win_matrix" description="A munkafüzetben levő „strategy_win_matrix” lekérdezés kapcsolata" type="5" refreshedVersion="8" background="1" saveData="1">
    <dbPr connection="Provider=Microsoft.Mashup.OleDb.1;Data Source=$Workbook$;Location=strategy_win_matrix;Extended Properties=&quot;&quot;" command="SELECT * FROM [strategy_win_matrix]"/>
  </connection>
  <connection id="5" xr16:uid="{70252187-A594-4F12-B338-01870FA54807}" keepAlive="1" name="Lekérdezés - strategy_win_matrix (2)" description="A munkafüzetben levő „strategy_win_matrix (2)” lekérdezés kapcsolata" type="5" refreshedVersion="8" background="1" saveData="1">
    <dbPr connection="Provider=Microsoft.Mashup.OleDb.1;Data Source=$Workbook$;Location=&quot;strategy_win_matrix (2)&quot;;Extended Properties=&quot;&quot;" command="SELECT * FROM [strategy_win_matrix (2)]"/>
  </connection>
</connections>
</file>

<file path=xl/sharedStrings.xml><?xml version="1.0" encoding="utf-8"?>
<sst xmlns="http://schemas.openxmlformats.org/spreadsheetml/2006/main" count="88" uniqueCount="41">
  <si>
    <t>shelf</t>
  </si>
  <si>
    <t>m. first fit</t>
  </si>
  <si>
    <t>m. min slack</t>
  </si>
  <si>
    <t>m. largest face up</t>
  </si>
  <si>
    <t>m. nincs forgatás</t>
  </si>
  <si>
    <t>egyenlő</t>
  </si>
  <si>
    <t>iterative</t>
  </si>
  <si>
    <t>first fit</t>
  </si>
  <si>
    <t>iteratív átlag bepakolt</t>
  </si>
  <si>
    <t>mintabemenetek</t>
  </si>
  <si>
    <t xml:space="preserve"> </t>
  </si>
  <si>
    <t>max tárgyak</t>
  </si>
  <si>
    <t>max térfogat (cm^3)</t>
  </si>
  <si>
    <t>policy</t>
  </si>
  <si>
    <t>skip if doesn't fit</t>
  </si>
  <si>
    <t>tárgyak sorrendje</t>
  </si>
  <si>
    <t>véletlen</t>
  </si>
  <si>
    <t>csökkenő térfogat</t>
  </si>
  <si>
    <t>extreme points</t>
  </si>
  <si>
    <t>first fit átl. pakolt</t>
  </si>
  <si>
    <t>iteratív átl. bepakolt</t>
  </si>
  <si>
    <t>stop if doesn't fit</t>
  </si>
  <si>
    <t>random</t>
  </si>
  <si>
    <t>-</t>
  </si>
  <si>
    <t>véletlen 5-15 közt</t>
  </si>
  <si>
    <t>strategy</t>
  </si>
  <si>
    <t>extreme_points</t>
  </si>
  <si>
    <t>greedy_first_fit</t>
  </si>
  <si>
    <t>greedy_larges_face_up</t>
  </si>
  <si>
    <t>greedy_min_sum_slack</t>
  </si>
  <si>
    <t>greedy_no_rotation</t>
  </si>
  <si>
    <t>largest_edge_desc</t>
  </si>
  <si>
    <t>largest_face_desc</t>
  </si>
  <si>
    <t>sim_anneal_100_desc</t>
  </si>
  <si>
    <t>sim_anneal_100_rand</t>
  </si>
  <si>
    <t>sim_anneal_10_desc</t>
  </si>
  <si>
    <t>sim_anneal_10_rand</t>
  </si>
  <si>
    <t>volume_asc</t>
  </si>
  <si>
    <t>volume_desc</t>
  </si>
  <si>
    <t>constrained_random_sample2(str(DATASET), 5, random.randint(5, 25), 1e9)</t>
  </si>
  <si>
    <t>samples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</si>
</sst>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8"/>
      <name val="Consolas"/>
      <family val="3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/>
    <xf numFmtId="0" fontId="0" fillId="0" borderId="0" xfId="0" applyNumberFormat="1"/>
    <xf numFmtId="0" fontId="1" fillId="0" borderId="0" xfId="0" applyFont="1" applyAlignment="1">
      <alignment vertical="center"/>
    </xf>
  </cellXfs>
  <cellStyles count="1">
    <cellStyle name="Normá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0107D519-1A9F-4D57-B2E8-234DCC978026}" autoFormatId="16" applyNumberFormats="0" applyBorderFormats="0" applyFontFormats="0" applyPatternFormats="0" applyAlignmentFormats="0" applyWidthHeightFormats="0">
  <queryTableRefresh nextId="8">
    <queryTableFields count="7">
      <queryTableField id="1" name="strategy" tableColumnId="1"/>
      <queryTableField id="2" name="extreme_points" tableColumnId="2"/>
      <queryTableField id="3" name="greedy_first_fit" tableColumnId="3"/>
      <queryTableField id="4" name="greedy_larges_face_up" tableColumnId="4"/>
      <queryTableField id="5" name="greedy_min_sum_slack" tableColumnId="5"/>
      <queryTableField id="6" name="greedy_no_rotation" tableColumnId="6"/>
      <queryTableField id="7" name="shelf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8619889-D9B3-4FA1-844C-E030370713DC}" name="results_matrix" displayName="results_matrix" ref="A1:G10" tableType="queryTable" totalsRowShown="0">
  <autoFilter ref="A1:G10" xr:uid="{E8619889-D9B3-4FA1-844C-E030370713DC}"/>
  <tableColumns count="7">
    <tableColumn id="1" xr3:uid="{5F339F35-508C-4032-85FF-348BC0C1E237}" uniqueName="1" name="strategy" queryTableFieldId="1" dataDxfId="0"/>
    <tableColumn id="2" xr3:uid="{FF972F0A-BD48-4DE7-8463-85D3E12BDEA3}" uniqueName="2" name="extreme_points" queryTableFieldId="2"/>
    <tableColumn id="3" xr3:uid="{EF75E6AB-2DD1-4CAB-B1C2-946F83D74ABA}" uniqueName="3" name="greedy_first_fit" queryTableFieldId="3"/>
    <tableColumn id="4" xr3:uid="{84FDD85C-6FF3-4AB5-81DC-82007988AB90}" uniqueName="4" name="greedy_larges_face_up" queryTableFieldId="4"/>
    <tableColumn id="5" xr3:uid="{615682DC-6B89-418E-AF6B-7E69E6040133}" uniqueName="5" name="greedy_min_sum_slack" queryTableFieldId="5"/>
    <tableColumn id="6" xr3:uid="{3B1DC242-1BD1-4FD9-BC5D-409BE0ECBE13}" uniqueName="6" name="greedy_no_rotation" queryTableFieldId="6"/>
    <tableColumn id="7" xr3:uid="{25157EFF-419B-4651-91A5-2DE33DA69BA7}" uniqueName="7" name="shelf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E3F47-83DB-4375-8998-EB0450300E4C}">
  <dimension ref="A1:G13"/>
  <sheetViews>
    <sheetView tabSelected="1" workbookViewId="0">
      <selection activeCell="C12" sqref="C12"/>
    </sheetView>
  </sheetViews>
  <sheetFormatPr defaultRowHeight="14.4" x14ac:dyDescent="0.3"/>
  <cols>
    <col min="1" max="1" width="18.77734375" bestFit="1" customWidth="1"/>
    <col min="2" max="2" width="16.21875" bestFit="1" customWidth="1"/>
    <col min="3" max="3" width="15.5546875" bestFit="1" customWidth="1"/>
    <col min="4" max="4" width="22" bestFit="1" customWidth="1"/>
    <col min="5" max="5" width="22.5546875" bestFit="1" customWidth="1"/>
    <col min="6" max="6" width="19" bestFit="1" customWidth="1"/>
    <col min="7" max="7" width="7.21875" bestFit="1" customWidth="1"/>
  </cols>
  <sheetData>
    <row r="1" spans="1:7" x14ac:dyDescent="0.3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0</v>
      </c>
    </row>
    <row r="2" spans="1:7" x14ac:dyDescent="0.3">
      <c r="A2" s="3" t="s">
        <v>31</v>
      </c>
      <c r="B2">
        <v>11</v>
      </c>
      <c r="C2">
        <v>12</v>
      </c>
      <c r="D2">
        <v>12</v>
      </c>
      <c r="E2">
        <v>12</v>
      </c>
      <c r="F2">
        <v>26</v>
      </c>
      <c r="G2">
        <v>12</v>
      </c>
    </row>
    <row r="3" spans="1:7" x14ac:dyDescent="0.3">
      <c r="A3" s="3" t="s">
        <v>32</v>
      </c>
      <c r="B3">
        <v>9</v>
      </c>
      <c r="C3">
        <v>12</v>
      </c>
      <c r="D3">
        <v>10</v>
      </c>
      <c r="E3">
        <v>10</v>
      </c>
      <c r="F3">
        <v>23</v>
      </c>
      <c r="G3">
        <v>10</v>
      </c>
    </row>
    <row r="4" spans="1:7" x14ac:dyDescent="0.3">
      <c r="A4" s="3" t="s">
        <v>22</v>
      </c>
      <c r="B4">
        <v>1</v>
      </c>
      <c r="C4">
        <v>2</v>
      </c>
      <c r="D4">
        <v>1</v>
      </c>
      <c r="E4">
        <v>1</v>
      </c>
      <c r="F4">
        <v>5</v>
      </c>
      <c r="G4">
        <v>1</v>
      </c>
    </row>
    <row r="5" spans="1:7" x14ac:dyDescent="0.3">
      <c r="A5" s="3" t="s">
        <v>33</v>
      </c>
      <c r="B5">
        <v>34</v>
      </c>
      <c r="C5">
        <v>32</v>
      </c>
      <c r="D5">
        <v>34</v>
      </c>
      <c r="E5">
        <v>34</v>
      </c>
      <c r="F5">
        <v>39</v>
      </c>
      <c r="G5">
        <v>28</v>
      </c>
    </row>
    <row r="6" spans="1:7" x14ac:dyDescent="0.3">
      <c r="A6" s="3" t="s">
        <v>34</v>
      </c>
      <c r="B6">
        <v>20</v>
      </c>
      <c r="C6">
        <v>22</v>
      </c>
      <c r="D6">
        <v>24</v>
      </c>
      <c r="E6">
        <v>24</v>
      </c>
      <c r="F6">
        <v>27</v>
      </c>
      <c r="G6">
        <v>32</v>
      </c>
    </row>
    <row r="7" spans="1:7" x14ac:dyDescent="0.3">
      <c r="A7" s="3" t="s">
        <v>35</v>
      </c>
      <c r="B7">
        <v>12</v>
      </c>
      <c r="C7">
        <v>17</v>
      </c>
      <c r="D7">
        <v>13</v>
      </c>
      <c r="E7">
        <v>17</v>
      </c>
      <c r="F7">
        <v>25</v>
      </c>
      <c r="G7">
        <v>12</v>
      </c>
    </row>
    <row r="8" spans="1:7" x14ac:dyDescent="0.3">
      <c r="A8" s="3" t="s">
        <v>36</v>
      </c>
      <c r="B8">
        <v>3</v>
      </c>
      <c r="C8">
        <v>3</v>
      </c>
      <c r="D8">
        <v>2</v>
      </c>
      <c r="E8">
        <v>2</v>
      </c>
      <c r="F8">
        <v>9</v>
      </c>
      <c r="G8">
        <v>4</v>
      </c>
    </row>
    <row r="9" spans="1:7" x14ac:dyDescent="0.3">
      <c r="A9" s="3" t="s">
        <v>37</v>
      </c>
      <c r="B9">
        <v>0</v>
      </c>
      <c r="C9">
        <v>1</v>
      </c>
      <c r="D9">
        <v>0</v>
      </c>
      <c r="E9">
        <v>0</v>
      </c>
      <c r="F9">
        <v>0</v>
      </c>
      <c r="G9">
        <v>0</v>
      </c>
    </row>
    <row r="10" spans="1:7" x14ac:dyDescent="0.3">
      <c r="A10" s="3" t="s">
        <v>38</v>
      </c>
      <c r="B10">
        <v>12</v>
      </c>
      <c r="C10">
        <v>12</v>
      </c>
      <c r="D10">
        <v>12</v>
      </c>
      <c r="E10">
        <v>11</v>
      </c>
      <c r="F10">
        <v>20</v>
      </c>
      <c r="G10">
        <v>12</v>
      </c>
    </row>
    <row r="12" spans="1:7" x14ac:dyDescent="0.3">
      <c r="B12" t="s">
        <v>40</v>
      </c>
    </row>
    <row r="13" spans="1:7" x14ac:dyDescent="0.3">
      <c r="B13" s="4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A4F2-F2EB-4B9C-BEC6-A99932624CF9}">
  <dimension ref="A1:K35"/>
  <sheetViews>
    <sheetView zoomScale="160" zoomScaleNormal="160" workbookViewId="0">
      <selection activeCell="G12" sqref="G12"/>
    </sheetView>
  </sheetViews>
  <sheetFormatPr defaultRowHeight="14.4" x14ac:dyDescent="0.3"/>
  <cols>
    <col min="1" max="1" width="3.109375" customWidth="1"/>
    <col min="2" max="2" width="15.21875" bestFit="1" customWidth="1"/>
    <col min="6" max="6" width="18.33203125" bestFit="1" customWidth="1"/>
    <col min="7" max="7" width="17.6640625" customWidth="1"/>
    <col min="8" max="8" width="5.33203125" customWidth="1"/>
    <col min="9" max="10" width="17.21875" bestFit="1" customWidth="1"/>
  </cols>
  <sheetData>
    <row r="1" spans="1:11" x14ac:dyDescent="0.3">
      <c r="B1" t="s">
        <v>9</v>
      </c>
    </row>
    <row r="2" spans="1:11" x14ac:dyDescent="0.3">
      <c r="B2">
        <v>10000</v>
      </c>
    </row>
    <row r="4" spans="1:11" x14ac:dyDescent="0.3">
      <c r="C4" t="s">
        <v>7</v>
      </c>
      <c r="D4" t="s">
        <v>6</v>
      </c>
      <c r="E4" t="s">
        <v>5</v>
      </c>
      <c r="F4" t="s">
        <v>8</v>
      </c>
      <c r="I4" t="s">
        <v>15</v>
      </c>
      <c r="J4" s="1" t="s">
        <v>17</v>
      </c>
      <c r="K4" s="2"/>
    </row>
    <row r="5" spans="1:11" x14ac:dyDescent="0.3">
      <c r="A5">
        <v>0</v>
      </c>
      <c r="B5" t="s">
        <v>4</v>
      </c>
      <c r="C5">
        <v>164</v>
      </c>
      <c r="D5">
        <v>129</v>
      </c>
      <c r="E5">
        <f>$B$2-C5-D5</f>
        <v>9707</v>
      </c>
      <c r="F5">
        <v>10.404299999999999</v>
      </c>
      <c r="I5" t="s">
        <v>11</v>
      </c>
      <c r="J5">
        <v>15</v>
      </c>
    </row>
    <row r="6" spans="1:11" x14ac:dyDescent="0.3">
      <c r="A6">
        <v>1</v>
      </c>
      <c r="B6" t="s">
        <v>3</v>
      </c>
      <c r="C6">
        <v>59</v>
      </c>
      <c r="D6">
        <v>46</v>
      </c>
      <c r="E6">
        <f>$B$2-C6-D6</f>
        <v>9895</v>
      </c>
      <c r="F6">
        <v>10.882099999999999</v>
      </c>
      <c r="I6" t="s">
        <v>12</v>
      </c>
      <c r="J6">
        <v>43500</v>
      </c>
    </row>
    <row r="7" spans="1:11" x14ac:dyDescent="0.3">
      <c r="A7">
        <v>2</v>
      </c>
      <c r="B7" t="s">
        <v>2</v>
      </c>
      <c r="C7">
        <v>318</v>
      </c>
      <c r="D7">
        <v>194</v>
      </c>
      <c r="E7">
        <f>$B$2-C7-D7</f>
        <v>9488</v>
      </c>
      <c r="F7">
        <v>10.895300000000001</v>
      </c>
      <c r="I7" t="s">
        <v>13</v>
      </c>
      <c r="J7" s="1" t="s">
        <v>14</v>
      </c>
    </row>
    <row r="8" spans="1:11" x14ac:dyDescent="0.3">
      <c r="A8">
        <v>3</v>
      </c>
      <c r="B8" t="s">
        <v>1</v>
      </c>
      <c r="C8">
        <v>285</v>
      </c>
      <c r="D8">
        <v>271</v>
      </c>
      <c r="E8">
        <f>$B$2-C8-D8</f>
        <v>9444</v>
      </c>
      <c r="F8">
        <v>10.896100000000001</v>
      </c>
    </row>
    <row r="9" spans="1:11" x14ac:dyDescent="0.3">
      <c r="A9">
        <v>4</v>
      </c>
      <c r="B9" t="s">
        <v>0</v>
      </c>
      <c r="C9">
        <v>678</v>
      </c>
      <c r="D9">
        <v>87</v>
      </c>
      <c r="E9">
        <f>$B$2-C9-D9</f>
        <v>9235</v>
      </c>
      <c r="F9">
        <v>10.784800000000001</v>
      </c>
      <c r="I9" s="2"/>
      <c r="J9" s="2"/>
    </row>
    <row r="12" spans="1:11" x14ac:dyDescent="0.3">
      <c r="C12" t="s">
        <v>7</v>
      </c>
      <c r="D12" t="s">
        <v>6</v>
      </c>
      <c r="E12" t="s">
        <v>5</v>
      </c>
      <c r="F12" t="s">
        <v>8</v>
      </c>
      <c r="I12" t="s">
        <v>15</v>
      </c>
      <c r="J12" s="1" t="s">
        <v>16</v>
      </c>
    </row>
    <row r="13" spans="1:11" x14ac:dyDescent="0.3">
      <c r="A13">
        <v>0</v>
      </c>
      <c r="B13" t="s">
        <v>4</v>
      </c>
      <c r="C13">
        <v>1224</v>
      </c>
      <c r="D13">
        <v>770</v>
      </c>
      <c r="E13">
        <f>$B$2-C13-D13</f>
        <v>8006</v>
      </c>
      <c r="F13">
        <v>10.179399999999999</v>
      </c>
      <c r="I13" t="s">
        <v>11</v>
      </c>
      <c r="J13">
        <v>15</v>
      </c>
    </row>
    <row r="14" spans="1:11" x14ac:dyDescent="0.3">
      <c r="A14">
        <v>1</v>
      </c>
      <c r="B14" t="s">
        <v>3</v>
      </c>
      <c r="C14">
        <v>1088</v>
      </c>
      <c r="D14">
        <v>871</v>
      </c>
      <c r="E14">
        <f>$B$2-C14-D14</f>
        <v>8041</v>
      </c>
      <c r="F14">
        <v>10.597099999999999</v>
      </c>
      <c r="I14" t="s">
        <v>12</v>
      </c>
      <c r="J14">
        <v>43500</v>
      </c>
    </row>
    <row r="15" spans="1:11" x14ac:dyDescent="0.3">
      <c r="A15">
        <v>2</v>
      </c>
      <c r="B15" t="s">
        <v>2</v>
      </c>
      <c r="C15">
        <v>1002</v>
      </c>
      <c r="D15">
        <v>945</v>
      </c>
      <c r="E15">
        <f>$B$2-C15-D15</f>
        <v>8053</v>
      </c>
      <c r="F15">
        <v>10.745699999999999</v>
      </c>
      <c r="I15" t="s">
        <v>13</v>
      </c>
      <c r="J15" s="1" t="s">
        <v>14</v>
      </c>
    </row>
    <row r="16" spans="1:11" x14ac:dyDescent="0.3">
      <c r="A16">
        <v>3</v>
      </c>
      <c r="B16" t="s">
        <v>1</v>
      </c>
      <c r="C16">
        <v>982</v>
      </c>
      <c r="D16">
        <v>1128</v>
      </c>
      <c r="E16">
        <f>$B$2-C16-D16</f>
        <v>7890</v>
      </c>
      <c r="F16">
        <v>10.7502</v>
      </c>
    </row>
    <row r="17" spans="1:10" x14ac:dyDescent="0.3">
      <c r="A17">
        <v>4</v>
      </c>
      <c r="B17" t="s">
        <v>0</v>
      </c>
      <c r="C17">
        <v>2419</v>
      </c>
      <c r="D17">
        <v>432</v>
      </c>
      <c r="E17">
        <f>$B$2-C17-D17</f>
        <v>7149</v>
      </c>
      <c r="F17">
        <v>10.4895</v>
      </c>
      <c r="I17" s="2"/>
      <c r="J17" s="2"/>
    </row>
    <row r="20" spans="1:10" x14ac:dyDescent="0.3">
      <c r="C20" t="s">
        <v>7</v>
      </c>
      <c r="D20" t="s">
        <v>6</v>
      </c>
      <c r="E20" t="s">
        <v>5</v>
      </c>
      <c r="F20" t="s">
        <v>19</v>
      </c>
      <c r="G20" t="s">
        <v>20</v>
      </c>
      <c r="I20" t="s">
        <v>15</v>
      </c>
      <c r="J20" s="1" t="s">
        <v>17</v>
      </c>
    </row>
    <row r="21" spans="1:10" x14ac:dyDescent="0.3">
      <c r="A21">
        <v>0</v>
      </c>
      <c r="B21" t="s">
        <v>4</v>
      </c>
      <c r="C21">
        <v>47</v>
      </c>
      <c r="D21">
        <v>30</v>
      </c>
      <c r="E21">
        <f>$B$2-C21-D21</f>
        <v>9923</v>
      </c>
      <c r="F21">
        <v>4.0811000000000002</v>
      </c>
      <c r="G21">
        <v>4.0534999999999997</v>
      </c>
      <c r="I21" t="s">
        <v>11</v>
      </c>
      <c r="J21" s="1" t="s">
        <v>24</v>
      </c>
    </row>
    <row r="22" spans="1:10" x14ac:dyDescent="0.3">
      <c r="A22">
        <v>1</v>
      </c>
      <c r="B22" t="s">
        <v>3</v>
      </c>
      <c r="C22">
        <v>45</v>
      </c>
      <c r="D22">
        <v>83</v>
      </c>
      <c r="E22">
        <f>$B$2-C22-D22</f>
        <v>9872</v>
      </c>
      <c r="F22">
        <v>7.1666999999999996</v>
      </c>
      <c r="G22">
        <v>7.1970000000000001</v>
      </c>
      <c r="I22" t="s">
        <v>12</v>
      </c>
      <c r="J22" s="1" t="s">
        <v>23</v>
      </c>
    </row>
    <row r="23" spans="1:10" x14ac:dyDescent="0.3">
      <c r="A23">
        <v>2</v>
      </c>
      <c r="B23" t="s">
        <v>2</v>
      </c>
      <c r="C23">
        <v>242</v>
      </c>
      <c r="D23">
        <v>237</v>
      </c>
      <c r="E23">
        <f>$B$2-C23-D23</f>
        <v>9521</v>
      </c>
      <c r="F23">
        <v>7.9023000000000003</v>
      </c>
      <c r="G23">
        <v>7.8597999999999999</v>
      </c>
      <c r="I23" t="s">
        <v>13</v>
      </c>
      <c r="J23" s="1" t="s">
        <v>21</v>
      </c>
    </row>
    <row r="24" spans="1:10" x14ac:dyDescent="0.3">
      <c r="A24">
        <v>3</v>
      </c>
      <c r="B24" t="s">
        <v>1</v>
      </c>
      <c r="C24">
        <v>228</v>
      </c>
      <c r="D24">
        <v>258</v>
      </c>
      <c r="E24">
        <f>$B$2-C24-D24</f>
        <v>9514</v>
      </c>
      <c r="F24">
        <v>7.8432000000000004</v>
      </c>
      <c r="G24">
        <v>7.8297999999999996</v>
      </c>
    </row>
    <row r="25" spans="1:10" x14ac:dyDescent="0.3">
      <c r="A25">
        <v>4</v>
      </c>
      <c r="B25" t="s">
        <v>0</v>
      </c>
      <c r="C25">
        <v>599</v>
      </c>
      <c r="D25">
        <v>102</v>
      </c>
      <c r="E25">
        <f>$B$2-C25-D25</f>
        <v>9299</v>
      </c>
      <c r="F25">
        <v>6.7511999999999999</v>
      </c>
      <c r="G25">
        <v>6.3827999999999996</v>
      </c>
      <c r="I25" s="2"/>
      <c r="J25" s="2"/>
    </row>
    <row r="26" spans="1:10" x14ac:dyDescent="0.3">
      <c r="A26">
        <v>5</v>
      </c>
      <c r="B26" t="s">
        <v>18</v>
      </c>
      <c r="C26">
        <v>212</v>
      </c>
      <c r="D26">
        <v>166</v>
      </c>
      <c r="E26">
        <f>$B$2-C26-D26</f>
        <v>9622</v>
      </c>
      <c r="F26">
        <v>7.9942000000000002</v>
      </c>
      <c r="G26">
        <v>7.9629000000000003</v>
      </c>
    </row>
    <row r="28" spans="1:10" x14ac:dyDescent="0.3">
      <c r="H28" t="s">
        <v>10</v>
      </c>
    </row>
    <row r="29" spans="1:10" x14ac:dyDescent="0.3">
      <c r="C29" t="s">
        <v>7</v>
      </c>
      <c r="D29" t="s">
        <v>6</v>
      </c>
      <c r="E29" t="s">
        <v>5</v>
      </c>
      <c r="F29" t="s">
        <v>19</v>
      </c>
      <c r="G29" t="s">
        <v>20</v>
      </c>
      <c r="I29" t="s">
        <v>15</v>
      </c>
      <c r="J29" s="1" t="s">
        <v>16</v>
      </c>
    </row>
    <row r="30" spans="1:10" x14ac:dyDescent="0.3">
      <c r="A30">
        <v>0</v>
      </c>
      <c r="B30" t="s">
        <v>4</v>
      </c>
      <c r="C30">
        <v>375</v>
      </c>
      <c r="D30">
        <v>260</v>
      </c>
      <c r="E30">
        <f>$B$2-C30-D30</f>
        <v>9365</v>
      </c>
      <c r="F30">
        <v>6.6017000000000001</v>
      </c>
      <c r="G30">
        <v>6.5392999999999999</v>
      </c>
      <c r="I30" t="s">
        <v>11</v>
      </c>
      <c r="J30" s="1" t="s">
        <v>24</v>
      </c>
    </row>
    <row r="31" spans="1:10" x14ac:dyDescent="0.3">
      <c r="A31">
        <v>1</v>
      </c>
      <c r="B31" t="s">
        <v>3</v>
      </c>
      <c r="C31">
        <v>779</v>
      </c>
      <c r="D31">
        <v>739</v>
      </c>
      <c r="E31">
        <f>$B$2-C31-D31</f>
        <v>8482</v>
      </c>
      <c r="F31">
        <v>8.5054999999999996</v>
      </c>
      <c r="G31">
        <v>8.4666999999999994</v>
      </c>
      <c r="I31" t="s">
        <v>12</v>
      </c>
      <c r="J31" s="1" t="s">
        <v>23</v>
      </c>
    </row>
    <row r="32" spans="1:10" x14ac:dyDescent="0.3">
      <c r="A32">
        <v>2</v>
      </c>
      <c r="B32" t="s">
        <v>2</v>
      </c>
      <c r="C32">
        <v>791</v>
      </c>
      <c r="D32">
        <v>992</v>
      </c>
      <c r="E32">
        <f>$B$2-C32-D32</f>
        <v>8217</v>
      </c>
      <c r="F32">
        <v>8.9200999999999997</v>
      </c>
      <c r="G32">
        <v>8.9415999999999993</v>
      </c>
      <c r="I32" t="s">
        <v>13</v>
      </c>
      <c r="J32" s="1" t="s">
        <v>21</v>
      </c>
    </row>
    <row r="33" spans="1:10" x14ac:dyDescent="0.3">
      <c r="A33">
        <v>3</v>
      </c>
      <c r="B33" t="s">
        <v>1</v>
      </c>
      <c r="C33">
        <v>768</v>
      </c>
      <c r="D33">
        <v>1232</v>
      </c>
      <c r="E33">
        <f>$B$2-C33-D33</f>
        <v>8000</v>
      </c>
      <c r="F33">
        <v>8.8567999999999998</v>
      </c>
      <c r="G33">
        <v>8.9636999999999993</v>
      </c>
    </row>
    <row r="34" spans="1:10" x14ac:dyDescent="0.3">
      <c r="A34">
        <v>4</v>
      </c>
      <c r="B34" t="s">
        <v>0</v>
      </c>
      <c r="C34">
        <v>2132</v>
      </c>
      <c r="D34">
        <v>315</v>
      </c>
      <c r="E34">
        <f>$B$2-C34-D34</f>
        <v>7553</v>
      </c>
      <c r="F34">
        <v>8.9923999999999999</v>
      </c>
      <c r="G34">
        <v>8.2652000000000001</v>
      </c>
      <c r="I34" s="2"/>
      <c r="J34" s="2"/>
    </row>
    <row r="35" spans="1:10" x14ac:dyDescent="0.3">
      <c r="A35">
        <v>5</v>
      </c>
      <c r="B35" t="s">
        <v>18</v>
      </c>
      <c r="C35">
        <v>756</v>
      </c>
      <c r="D35">
        <v>981</v>
      </c>
      <c r="E35">
        <f>$B$2-C35-D35</f>
        <v>8263</v>
      </c>
      <c r="F35">
        <v>9.0993999999999993</v>
      </c>
      <c r="G35">
        <v>9.1472999999999995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169A37-8744-42F2-AD01-73DA76F16E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results_matrix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Blahota Marcell</dc:creator>
  <cp:lastModifiedBy>Blahota Marcell</cp:lastModifiedBy>
  <dcterms:created xsi:type="dcterms:W3CDTF">2026-05-15T10:06:33Z</dcterms:created>
  <dcterms:modified xsi:type="dcterms:W3CDTF">2026-05-19T23:25:32Z</dcterms:modified>
</cp:coreProperties>
</file>