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l.blahota\Documents\onlab\BinPacking\"/>
    </mc:Choice>
  </mc:AlternateContent>
  <xr:revisionPtr revIDLastSave="0" documentId="13_ncr:1_{0CEC1E45-BF84-4C20-9F36-F703556798BB}" xr6:coauthVersionLast="47" xr6:coauthVersionMax="47" xr10:uidLastSave="{00000000-0000-0000-0000-000000000000}"/>
  <bookViews>
    <workbookView xWindow="-108" yWindow="-108" windowWidth="30936" windowHeight="16776" activeTab="2" xr2:uid="{CC5D4F9B-C96F-48CF-811B-BBF8F108C44D}"/>
  </bookViews>
  <sheets>
    <sheet name="comparison" sheetId="4" r:id="rId1"/>
    <sheet name="results_matrix" sheetId="5" r:id="rId2"/>
    <sheet name="Munka1" sheetId="8" r:id="rId3"/>
  </sheets>
  <definedNames>
    <definedName name="ExternalData_1" localSheetId="1" hidden="1">'results_matrix'!$A$1:$G$10</definedName>
    <definedName name="ExternalData_2" localSheetId="1" hidden="1">'results_matrix'!$A$15:$G$24</definedName>
    <definedName name="ExternalData_3" localSheetId="1" hidden="1">'results_matrix'!$A$29:$G$38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" i="8" l="1"/>
  <c r="G9" i="8"/>
  <c r="H9" i="8"/>
  <c r="I9" i="8"/>
  <c r="J9" i="8"/>
  <c r="E9" i="8"/>
  <c r="F10" i="8"/>
  <c r="G10" i="8"/>
  <c r="H10" i="8"/>
  <c r="I10" i="8"/>
  <c r="J10" i="8"/>
  <c r="E10" i="8"/>
  <c r="F5" i="8"/>
  <c r="G5" i="8"/>
  <c r="H5" i="8"/>
  <c r="I5" i="8"/>
  <c r="J5" i="8"/>
  <c r="E5" i="8"/>
  <c r="F4" i="8"/>
  <c r="G4" i="8"/>
  <c r="H4" i="8"/>
  <c r="I4" i="8"/>
  <c r="J4" i="8"/>
  <c r="E4" i="8"/>
  <c r="E35" i="4"/>
  <c r="E34" i="4"/>
  <c r="E33" i="4"/>
  <c r="E32" i="4"/>
  <c r="E31" i="4"/>
  <c r="E30" i="4"/>
  <c r="E26" i="4"/>
  <c r="E25" i="4"/>
  <c r="E24" i="4"/>
  <c r="E23" i="4"/>
  <c r="E22" i="4"/>
  <c r="E21" i="4"/>
  <c r="E5" i="4"/>
  <c r="E6" i="4"/>
  <c r="E7" i="4"/>
  <c r="E8" i="4"/>
  <c r="E9" i="4"/>
  <c r="E13" i="4"/>
  <c r="E14" i="4"/>
  <c r="E15" i="4"/>
  <c r="E16" i="4"/>
  <c r="E1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DBE26A-7738-4EBB-AD20-AA7F6C360FB9}" keepAlive="1" name="Lekérdezés - experiment_results" description="A munkafüzetben levő „experiment_results” lekérdezés kapcsolata" type="5" refreshedVersion="8" background="1" saveData="1">
    <dbPr connection="Provider=Microsoft.Mashup.OleDb.1;Data Source=$Workbook$;Location=experiment_results;Extended Properties=&quot;&quot;" command="SELECT * FROM [experiment_results]"/>
  </connection>
  <connection id="2" xr16:uid="{98391CC0-6CCE-4C01-BCD6-2D2B0A5303A3}" keepAlive="1" name="Lekérdezés - experiment_results (2)" description="A munkafüzetben levő „experiment_results (2)” lekérdezés kapcsolata" type="5" refreshedVersion="8" background="1" saveData="1">
    <dbPr connection="Provider=Microsoft.Mashup.OleDb.1;Data Source=$Workbook$;Location=&quot;experiment_results (2)&quot;;Extended Properties=&quot;&quot;" command="SELECT * FROM [experiment_results (2)]"/>
  </connection>
  <connection id="3" xr16:uid="{EAA4AA14-8C3C-4A97-A02A-F3C4BBEDE70D}" keepAlive="1" name="Lekérdezés - results_matrix" description="A munkafüzetben levő „results_matrix” lekérdezés kapcsolata" type="5" refreshedVersion="8" background="1" saveData="1">
    <dbPr connection="Provider=Microsoft.Mashup.OleDb.1;Data Source=$Workbook$;Location=results_matrix;Extended Properties=&quot;&quot;" command="SELECT * FROM [results_matrix]"/>
  </connection>
  <connection id="4" xr16:uid="{B712C003-6242-4A47-8AD8-73BA3690B290}" keepAlive="1" name="Lekérdezés - results_matrix (2)" description="A munkafüzetben levő „results_matrix (2)” lekérdezés kapcsolata" type="5" refreshedVersion="8" background="1" saveData="1">
    <dbPr connection="Provider=Microsoft.Mashup.OleDb.1;Data Source=$Workbook$;Location=&quot;results_matrix (2)&quot;;Extended Properties=&quot;&quot;" command="SELECT * FROM [results_matrix (2)]"/>
  </connection>
  <connection id="5" xr16:uid="{BFD28C9A-C6B5-4461-9248-44AE4EBE7F80}" keepAlive="1" name="Lekérdezés - results_matrix (3)" description="A munkafüzetben levő „results_matrix (3)” lekérdezés kapcsolata" type="5" refreshedVersion="8" background="1" saveData="1">
    <dbPr connection="Provider=Microsoft.Mashup.OleDb.1;Data Source=$Workbook$;Location=&quot;results_matrix (3)&quot;;Extended Properties=&quot;&quot;" command="SELECT * FROM [results_matrix (3)]"/>
  </connection>
  <connection id="6" xr16:uid="{747D02C7-E6EC-45B2-A1FF-A2204D03B65B}" keepAlive="1" name="Lekérdezés - results_matrix (4)" description="A munkafüzetben levő „results_matrix (4)” lekérdezés kapcsolata" type="5" refreshedVersion="8" background="1" saveData="1">
    <dbPr connection="Provider=Microsoft.Mashup.OleDb.1;Data Source=$Workbook$;Location=&quot;results_matrix (4)&quot;;Extended Properties=&quot;&quot;" command="SELECT * FROM [results_matrix (4)]"/>
  </connection>
  <connection id="7" xr16:uid="{8F78A25F-CA8E-44F1-935A-7203D5BC0497}" keepAlive="1" name="Lekérdezés - strategy_win_matrix" description="A munkafüzetben levő „strategy_win_matrix” lekérdezés kapcsolata" type="5" refreshedVersion="8" background="1" saveData="1">
    <dbPr connection="Provider=Microsoft.Mashup.OleDb.1;Data Source=$Workbook$;Location=strategy_win_matrix;Extended Properties=&quot;&quot;" command="SELECT * FROM [strategy_win_matrix]"/>
  </connection>
  <connection id="8" xr16:uid="{70252187-A594-4F12-B338-01870FA54807}" keepAlive="1" name="Lekérdezés - strategy_win_matrix (2)" description="A munkafüzetben levő „strategy_win_matrix (2)” lekérdezés kapcsolata" type="5" refreshedVersion="8" background="1" saveData="1">
    <dbPr connection="Provider=Microsoft.Mashup.OleDb.1;Data Source=$Workbook$;Location=&quot;strategy_win_matrix (2)&quot;;Extended Properties=&quot;&quot;" command="SELECT * FROM [strategy_win_matrix (2)]"/>
  </connection>
</connections>
</file>

<file path=xl/sharedStrings.xml><?xml version="1.0" encoding="utf-8"?>
<sst xmlns="http://schemas.openxmlformats.org/spreadsheetml/2006/main" count="187" uniqueCount="64">
  <si>
    <t>shelf</t>
  </si>
  <si>
    <t>m. first fit</t>
  </si>
  <si>
    <t>m. min slack</t>
  </si>
  <si>
    <t>m. largest face up</t>
  </si>
  <si>
    <t>m. nincs forgatás</t>
  </si>
  <si>
    <t>egyenlő</t>
  </si>
  <si>
    <t>iterative</t>
  </si>
  <si>
    <t>first fit</t>
  </si>
  <si>
    <t>iteratív átlag bepakolt</t>
  </si>
  <si>
    <t>mintabemenetek</t>
  </si>
  <si>
    <t xml:space="preserve"> </t>
  </si>
  <si>
    <t>max tárgyak</t>
  </si>
  <si>
    <t>max térfogat (cm^3)</t>
  </si>
  <si>
    <t>policy</t>
  </si>
  <si>
    <t>skip if doesn't fit</t>
  </si>
  <si>
    <t>tárgyak sorrendje</t>
  </si>
  <si>
    <t>véletlen</t>
  </si>
  <si>
    <t>csökkenő térfogat</t>
  </si>
  <si>
    <t>extreme points</t>
  </si>
  <si>
    <t>first fit átl. pakolt</t>
  </si>
  <si>
    <t>iteratív átl. bepakolt</t>
  </si>
  <si>
    <t>stop if doesn't fit</t>
  </si>
  <si>
    <t>random</t>
  </si>
  <si>
    <t>-</t>
  </si>
  <si>
    <t>véletlen 5-15 közt</t>
  </si>
  <si>
    <t>strategy</t>
  </si>
  <si>
    <t>extreme_points</t>
  </si>
  <si>
    <t>greedy_first_fit</t>
  </si>
  <si>
    <t>greedy_larges_face_up</t>
  </si>
  <si>
    <t>greedy_min_sum_slack</t>
  </si>
  <si>
    <t>greedy_no_rotation</t>
  </si>
  <si>
    <t>largest_edge_desc</t>
  </si>
  <si>
    <t>largest_face_desc</t>
  </si>
  <si>
    <t>sim_anneal_100_desc</t>
  </si>
  <si>
    <t>sim_anneal_100_rand</t>
  </si>
  <si>
    <t>sim_anneal_10_desc</t>
  </si>
  <si>
    <t>sim_anneal_10_rand</t>
  </si>
  <si>
    <t>volume_asc</t>
  </si>
  <si>
    <t>volume_desc</t>
  </si>
  <si>
    <t>samples</t>
  </si>
  <si>
    <t>items</t>
  </si>
  <si>
    <t>5-25</t>
  </si>
  <si>
    <t>10-30</t>
  </si>
  <si>
    <t>15-35</t>
  </si>
  <si>
    <t>(rand határok)</t>
  </si>
  <si>
    <t>Idő tesztek</t>
  </si>
  <si>
    <t>1500 elem</t>
  </si>
  <si>
    <t>ff segéd</t>
  </si>
  <si>
    <t>m, nincs forgatás</t>
  </si>
  <si>
    <t>m, largest face up</t>
  </si>
  <si>
    <t>m, min slack</t>
  </si>
  <si>
    <t>m, first fit</t>
  </si>
  <si>
    <t>iter segéd</t>
  </si>
  <si>
    <t>Ship everythig</t>
  </si>
  <si>
    <t>raklap</t>
  </si>
  <si>
    <t>raklapra</t>
  </si>
  <si>
    <t>algo 0</t>
  </si>
  <si>
    <t>algo 1</t>
  </si>
  <si>
    <t>algo 2</t>
  </si>
  <si>
    <t>algo 3</t>
  </si>
  <si>
    <t>algo 4</t>
  </si>
  <si>
    <t>algo 5</t>
  </si>
  <si>
    <t>posta dobozokba</t>
  </si>
  <si>
    <t>doboz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</si>
</sst>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8"/>
      <name val="Consolas"/>
      <family val="3"/>
      <charset val="238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vertical="center"/>
    </xf>
    <xf numFmtId="49" fontId="0" fillId="0" borderId="0" xfId="0" applyNumberForma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á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107D519-1A9F-4D57-B2E8-234DCC978026}" autoFormatId="16" applyNumberFormats="0" applyBorderFormats="0" applyFontFormats="0" applyPatternFormats="0" applyAlignmentFormats="0" applyWidthHeightFormats="0">
  <queryTableRefresh nextId="8">
    <queryTableFields count="7">
      <queryTableField id="1" name="strategy" tableColumnId="1"/>
      <queryTableField id="2" name="extreme_points" tableColumnId="2"/>
      <queryTableField id="3" name="greedy_first_fit" tableColumnId="3"/>
      <queryTableField id="4" name="greedy_larges_face_up" tableColumnId="4"/>
      <queryTableField id="5" name="greedy_min_sum_slack" tableColumnId="5"/>
      <queryTableField id="6" name="greedy_no_rotation" tableColumnId="6"/>
      <queryTableField id="7" name="shelf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FBD788-582D-4AD5-94F0-70764F1A0B0E}" autoFormatId="16" applyNumberFormats="0" applyBorderFormats="0" applyFontFormats="0" applyPatternFormats="0" applyAlignmentFormats="0" applyWidthHeightFormats="0">
  <queryTableRefresh nextId="8">
    <queryTableFields count="7">
      <queryTableField id="1" name="strategy" tableColumnId="1"/>
      <queryTableField id="2" name="extreme_points" tableColumnId="2"/>
      <queryTableField id="3" name="greedy_first_fit" tableColumnId="3"/>
      <queryTableField id="4" name="greedy_larges_face_up" tableColumnId="4"/>
      <queryTableField id="5" name="greedy_min_sum_slack" tableColumnId="5"/>
      <queryTableField id="6" name="greedy_no_rotation" tableColumnId="6"/>
      <queryTableField id="7" name="shelf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C89B51AE-DD6C-471D-965A-61CDB9778119}" autoFormatId="16" applyNumberFormats="0" applyBorderFormats="0" applyFontFormats="0" applyPatternFormats="0" applyAlignmentFormats="0" applyWidthHeightFormats="0">
  <queryTableRefresh nextId="8">
    <queryTableFields count="7">
      <queryTableField id="1" name="strategy" tableColumnId="1"/>
      <queryTableField id="2" name="extreme_points" tableColumnId="2"/>
      <queryTableField id="3" name="greedy_first_fit" tableColumnId="3"/>
      <queryTableField id="4" name="greedy_larges_face_up" tableColumnId="4"/>
      <queryTableField id="5" name="greedy_min_sum_slack" tableColumnId="5"/>
      <queryTableField id="6" name="greedy_no_rotation" tableColumnId="6"/>
      <queryTableField id="7" name="shelf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619889-D9B3-4FA1-844C-E030370713DC}" name="results_matrix" displayName="results_matrix" ref="A1:G10" tableType="queryTable" totalsRowShown="0">
  <autoFilter ref="A1:G10" xr:uid="{E8619889-D9B3-4FA1-844C-E030370713DC}"/>
  <tableColumns count="7">
    <tableColumn id="1" xr3:uid="{5F339F35-508C-4032-85FF-348BC0C1E237}" uniqueName="1" name="strategy" queryTableFieldId="1" dataDxfId="2"/>
    <tableColumn id="2" xr3:uid="{FF972F0A-BD48-4DE7-8463-85D3E12BDEA3}" uniqueName="2" name="extreme_points" queryTableFieldId="2"/>
    <tableColumn id="3" xr3:uid="{EF75E6AB-2DD1-4CAB-B1C2-946F83D74ABA}" uniqueName="3" name="greedy_first_fit" queryTableFieldId="3"/>
    <tableColumn id="4" xr3:uid="{84FDD85C-6FF3-4AB5-81DC-82007988AB90}" uniqueName="4" name="greedy_larges_face_up" queryTableFieldId="4"/>
    <tableColumn id="5" xr3:uid="{615682DC-6B89-418E-AF6B-7E69E6040133}" uniqueName="5" name="greedy_min_sum_slack" queryTableFieldId="5"/>
    <tableColumn id="6" xr3:uid="{3B1DC242-1BD1-4FD9-BC5D-409BE0ECBE13}" uniqueName="6" name="greedy_no_rotation" queryTableFieldId="6"/>
    <tableColumn id="7" xr3:uid="{25157EFF-419B-4651-91A5-2DE33DA69BA7}" uniqueName="7" name="shelf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DF046-7C0B-4D51-9FFE-C760835ECAE6}" name="results_matrix__2" displayName="results_matrix__2" ref="A15:G24" tableType="queryTable" totalsRowShown="0">
  <autoFilter ref="A15:G24" xr:uid="{AE1DF046-7C0B-4D51-9FFE-C760835ECAE6}"/>
  <tableColumns count="7">
    <tableColumn id="1" xr3:uid="{FC61D6AB-7983-4749-90E8-29DC936FA221}" uniqueName="1" name="strategy" queryTableFieldId="1" dataDxfId="1"/>
    <tableColumn id="2" xr3:uid="{CAF77319-E581-4BCD-9970-052BCEB03B73}" uniqueName="2" name="extreme_points" queryTableFieldId="2"/>
    <tableColumn id="3" xr3:uid="{312A056C-CCAF-4879-9620-7E14BC57779C}" uniqueName="3" name="greedy_first_fit" queryTableFieldId="3"/>
    <tableColumn id="4" xr3:uid="{F23D332E-E39A-437D-B619-6861BEF6B1DB}" uniqueName="4" name="greedy_larges_face_up" queryTableFieldId="4"/>
    <tableColumn id="5" xr3:uid="{439B9328-D2BC-4923-9F4D-B2FAF76D1DD4}" uniqueName="5" name="greedy_min_sum_slack" queryTableFieldId="5"/>
    <tableColumn id="6" xr3:uid="{2B97C810-E9C5-4247-810C-8D2E7B32E3E4}" uniqueName="6" name="greedy_no_rotation" queryTableFieldId="6"/>
    <tableColumn id="7" xr3:uid="{B4B9C588-A459-4E0C-84FB-D3B3BA5760D7}" uniqueName="7" name="shelf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A32A7C-9318-49FB-ABEE-055E494E0293}" name="results_matrix__35" displayName="results_matrix__35" ref="A29:G38" tableType="queryTable" totalsRowShown="0">
  <autoFilter ref="A29:G38" xr:uid="{A2A32A7C-9318-49FB-ABEE-055E494E0293}"/>
  <tableColumns count="7">
    <tableColumn id="1" xr3:uid="{38B08792-32E6-4F9D-87AC-19E22E43485E}" uniqueName="1" name="strategy" queryTableFieldId="1" dataDxfId="0"/>
    <tableColumn id="2" xr3:uid="{A63E7305-6BCC-4BA5-B610-9E62F5443B84}" uniqueName="2" name="extreme_points" queryTableFieldId="2"/>
    <tableColumn id="3" xr3:uid="{178355A0-5236-494F-96E7-C0B5E8E9790C}" uniqueName="3" name="greedy_first_fit" queryTableFieldId="3"/>
    <tableColumn id="4" xr3:uid="{AEF6B0DD-1D07-48FD-BA92-CEF46C4D8FBE}" uniqueName="4" name="greedy_larges_face_up" queryTableFieldId="4"/>
    <tableColumn id="5" xr3:uid="{5C47EAF2-A37D-4B32-A752-E02D62FAEC68}" uniqueName="5" name="greedy_min_sum_slack" queryTableFieldId="5"/>
    <tableColumn id="6" xr3:uid="{F807257B-8A20-4399-8AB7-32422B1E1BD2}" uniqueName="6" name="greedy_no_rotation" queryTableFieldId="6"/>
    <tableColumn id="7" xr3:uid="{C3DBA074-426F-4629-A13F-435691E15016}" uniqueName="7" name="shelf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A4F2-F2EB-4B9C-BEC6-A99932624CF9}">
  <dimension ref="A1:J35"/>
  <sheetViews>
    <sheetView topLeftCell="A4" zoomScale="115" zoomScaleNormal="115" workbookViewId="0">
      <selection activeCell="B13" sqref="B13:B17"/>
    </sheetView>
  </sheetViews>
  <sheetFormatPr defaultRowHeight="14.4" x14ac:dyDescent="0.3"/>
  <cols>
    <col min="1" max="1" width="3.109375" customWidth="1"/>
    <col min="2" max="2" width="15.33203125" bestFit="1" customWidth="1"/>
    <col min="6" max="6" width="18.33203125" bestFit="1" customWidth="1"/>
    <col min="7" max="7" width="17.6640625" customWidth="1"/>
    <col min="8" max="8" width="5.33203125" customWidth="1"/>
    <col min="9" max="10" width="17.33203125" bestFit="1" customWidth="1"/>
  </cols>
  <sheetData>
    <row r="1" spans="1:10" x14ac:dyDescent="0.3">
      <c r="B1" t="s">
        <v>9</v>
      </c>
    </row>
    <row r="2" spans="1:10" x14ac:dyDescent="0.3">
      <c r="B2">
        <v>10000</v>
      </c>
    </row>
    <row r="4" spans="1:10" x14ac:dyDescent="0.3">
      <c r="C4" t="s">
        <v>7</v>
      </c>
      <c r="D4" t="s">
        <v>6</v>
      </c>
      <c r="E4" t="s">
        <v>5</v>
      </c>
      <c r="F4" t="s">
        <v>8</v>
      </c>
      <c r="I4" t="s">
        <v>15</v>
      </c>
      <c r="J4" s="1" t="s">
        <v>17</v>
      </c>
    </row>
    <row r="5" spans="1:10" x14ac:dyDescent="0.3">
      <c r="A5">
        <v>0</v>
      </c>
      <c r="B5" t="s">
        <v>4</v>
      </c>
      <c r="C5">
        <v>164</v>
      </c>
      <c r="D5">
        <v>129</v>
      </c>
      <c r="E5">
        <f>$B$2-C5-D5</f>
        <v>9707</v>
      </c>
      <c r="F5">
        <v>10.404299999999999</v>
      </c>
      <c r="I5" t="s">
        <v>11</v>
      </c>
      <c r="J5">
        <v>15</v>
      </c>
    </row>
    <row r="6" spans="1:10" x14ac:dyDescent="0.3">
      <c r="A6">
        <v>1</v>
      </c>
      <c r="B6" t="s">
        <v>3</v>
      </c>
      <c r="C6">
        <v>59</v>
      </c>
      <c r="D6">
        <v>46</v>
      </c>
      <c r="E6">
        <f>$B$2-C6-D6</f>
        <v>9895</v>
      </c>
      <c r="F6">
        <v>10.882099999999999</v>
      </c>
      <c r="I6" t="s">
        <v>12</v>
      </c>
      <c r="J6">
        <v>43500</v>
      </c>
    </row>
    <row r="7" spans="1:10" x14ac:dyDescent="0.3">
      <c r="A7">
        <v>2</v>
      </c>
      <c r="B7" t="s">
        <v>2</v>
      </c>
      <c r="C7">
        <v>318</v>
      </c>
      <c r="D7">
        <v>194</v>
      </c>
      <c r="E7">
        <f>$B$2-C7-D7</f>
        <v>9488</v>
      </c>
      <c r="F7">
        <v>10.895300000000001</v>
      </c>
      <c r="I7" t="s">
        <v>13</v>
      </c>
      <c r="J7" s="1" t="s">
        <v>14</v>
      </c>
    </row>
    <row r="8" spans="1:10" x14ac:dyDescent="0.3">
      <c r="A8">
        <v>3</v>
      </c>
      <c r="B8" t="s">
        <v>1</v>
      </c>
      <c r="C8">
        <v>285</v>
      </c>
      <c r="D8">
        <v>271</v>
      </c>
      <c r="E8">
        <f>$B$2-C8-D8</f>
        <v>9444</v>
      </c>
      <c r="F8">
        <v>10.896100000000001</v>
      </c>
    </row>
    <row r="9" spans="1:10" x14ac:dyDescent="0.3">
      <c r="A9">
        <v>4</v>
      </c>
      <c r="B9" t="s">
        <v>0</v>
      </c>
      <c r="C9">
        <v>678</v>
      </c>
      <c r="D9">
        <v>87</v>
      </c>
      <c r="E9">
        <f>$B$2-C9-D9</f>
        <v>9235</v>
      </c>
      <c r="F9">
        <v>10.784800000000001</v>
      </c>
    </row>
    <row r="12" spans="1:10" x14ac:dyDescent="0.3">
      <c r="C12" t="s">
        <v>7</v>
      </c>
      <c r="D12" t="s">
        <v>6</v>
      </c>
      <c r="E12" t="s">
        <v>5</v>
      </c>
      <c r="F12" t="s">
        <v>8</v>
      </c>
      <c r="I12" t="s">
        <v>15</v>
      </c>
      <c r="J12" s="1" t="s">
        <v>16</v>
      </c>
    </row>
    <row r="13" spans="1:10" x14ac:dyDescent="0.3">
      <c r="A13">
        <v>0</v>
      </c>
      <c r="B13" t="s">
        <v>4</v>
      </c>
      <c r="C13">
        <v>1224</v>
      </c>
      <c r="D13">
        <v>770</v>
      </c>
      <c r="E13">
        <f>$B$2-C13-D13</f>
        <v>8006</v>
      </c>
      <c r="F13">
        <v>10.179399999999999</v>
      </c>
      <c r="I13" t="s">
        <v>11</v>
      </c>
      <c r="J13">
        <v>15</v>
      </c>
    </row>
    <row r="14" spans="1:10" x14ac:dyDescent="0.3">
      <c r="A14">
        <v>1</v>
      </c>
      <c r="B14" t="s">
        <v>3</v>
      </c>
      <c r="C14">
        <v>1088</v>
      </c>
      <c r="D14">
        <v>871</v>
      </c>
      <c r="E14">
        <f>$B$2-C14-D14</f>
        <v>8041</v>
      </c>
      <c r="F14">
        <v>10.597099999999999</v>
      </c>
      <c r="I14" t="s">
        <v>12</v>
      </c>
      <c r="J14">
        <v>43500</v>
      </c>
    </row>
    <row r="15" spans="1:10" x14ac:dyDescent="0.3">
      <c r="A15">
        <v>2</v>
      </c>
      <c r="B15" t="s">
        <v>2</v>
      </c>
      <c r="C15">
        <v>1002</v>
      </c>
      <c r="D15">
        <v>945</v>
      </c>
      <c r="E15">
        <f>$B$2-C15-D15</f>
        <v>8053</v>
      </c>
      <c r="F15">
        <v>10.745699999999999</v>
      </c>
      <c r="I15" t="s">
        <v>13</v>
      </c>
      <c r="J15" s="1" t="s">
        <v>14</v>
      </c>
    </row>
    <row r="16" spans="1:10" x14ac:dyDescent="0.3">
      <c r="A16">
        <v>3</v>
      </c>
      <c r="B16" t="s">
        <v>1</v>
      </c>
      <c r="C16">
        <v>982</v>
      </c>
      <c r="D16">
        <v>1128</v>
      </c>
      <c r="E16">
        <f>$B$2-C16-D16</f>
        <v>7890</v>
      </c>
      <c r="F16">
        <v>10.7502</v>
      </c>
    </row>
    <row r="17" spans="1:10" x14ac:dyDescent="0.3">
      <c r="A17">
        <v>4</v>
      </c>
      <c r="B17" t="s">
        <v>0</v>
      </c>
      <c r="C17">
        <v>2419</v>
      </c>
      <c r="D17">
        <v>432</v>
      </c>
      <c r="E17">
        <f>$B$2-C17-D17</f>
        <v>7149</v>
      </c>
      <c r="F17">
        <v>10.4895</v>
      </c>
    </row>
    <row r="20" spans="1:10" x14ac:dyDescent="0.3">
      <c r="C20" t="s">
        <v>7</v>
      </c>
      <c r="D20" t="s">
        <v>6</v>
      </c>
      <c r="E20" t="s">
        <v>5</v>
      </c>
      <c r="F20" t="s">
        <v>19</v>
      </c>
      <c r="G20" t="s">
        <v>20</v>
      </c>
      <c r="I20" t="s">
        <v>15</v>
      </c>
      <c r="J20" s="1" t="s">
        <v>17</v>
      </c>
    </row>
    <row r="21" spans="1:10" x14ac:dyDescent="0.3">
      <c r="A21">
        <v>0</v>
      </c>
      <c r="B21" t="s">
        <v>4</v>
      </c>
      <c r="C21">
        <v>47</v>
      </c>
      <c r="D21">
        <v>30</v>
      </c>
      <c r="E21">
        <f t="shared" ref="E21:E26" si="0">$B$2-C21-D21</f>
        <v>9923</v>
      </c>
      <c r="F21">
        <v>4.0811000000000002</v>
      </c>
      <c r="G21">
        <v>4.0534999999999997</v>
      </c>
      <c r="I21" t="s">
        <v>11</v>
      </c>
      <c r="J21" s="1" t="s">
        <v>24</v>
      </c>
    </row>
    <row r="22" spans="1:10" x14ac:dyDescent="0.3">
      <c r="A22">
        <v>1</v>
      </c>
      <c r="B22" t="s">
        <v>3</v>
      </c>
      <c r="C22">
        <v>45</v>
      </c>
      <c r="D22">
        <v>83</v>
      </c>
      <c r="E22">
        <f t="shared" si="0"/>
        <v>9872</v>
      </c>
      <c r="F22">
        <v>7.1666999999999996</v>
      </c>
      <c r="G22">
        <v>7.1970000000000001</v>
      </c>
      <c r="I22" t="s">
        <v>12</v>
      </c>
      <c r="J22" s="1" t="s">
        <v>23</v>
      </c>
    </row>
    <row r="23" spans="1:10" x14ac:dyDescent="0.3">
      <c r="A23">
        <v>2</v>
      </c>
      <c r="B23" t="s">
        <v>2</v>
      </c>
      <c r="C23">
        <v>242</v>
      </c>
      <c r="D23">
        <v>237</v>
      </c>
      <c r="E23">
        <f t="shared" si="0"/>
        <v>9521</v>
      </c>
      <c r="F23">
        <v>7.9023000000000003</v>
      </c>
      <c r="G23">
        <v>7.8597999999999999</v>
      </c>
      <c r="I23" t="s">
        <v>13</v>
      </c>
      <c r="J23" s="1" t="s">
        <v>21</v>
      </c>
    </row>
    <row r="24" spans="1:10" x14ac:dyDescent="0.3">
      <c r="A24">
        <v>3</v>
      </c>
      <c r="B24" t="s">
        <v>1</v>
      </c>
      <c r="C24">
        <v>228</v>
      </c>
      <c r="D24">
        <v>258</v>
      </c>
      <c r="E24">
        <f t="shared" si="0"/>
        <v>9514</v>
      </c>
      <c r="F24">
        <v>7.8432000000000004</v>
      </c>
      <c r="G24">
        <v>7.8297999999999996</v>
      </c>
    </row>
    <row r="25" spans="1:10" x14ac:dyDescent="0.3">
      <c r="A25">
        <v>4</v>
      </c>
      <c r="B25" t="s">
        <v>0</v>
      </c>
      <c r="C25">
        <v>599</v>
      </c>
      <c r="D25">
        <v>102</v>
      </c>
      <c r="E25">
        <f t="shared" si="0"/>
        <v>9299</v>
      </c>
      <c r="F25">
        <v>6.7511999999999999</v>
      </c>
      <c r="G25">
        <v>6.3827999999999996</v>
      </c>
    </row>
    <row r="26" spans="1:10" x14ac:dyDescent="0.3">
      <c r="A26">
        <v>5</v>
      </c>
      <c r="B26" t="s">
        <v>18</v>
      </c>
      <c r="C26">
        <v>212</v>
      </c>
      <c r="D26">
        <v>166</v>
      </c>
      <c r="E26">
        <f t="shared" si="0"/>
        <v>9622</v>
      </c>
      <c r="F26">
        <v>7.9942000000000002</v>
      </c>
      <c r="G26">
        <v>7.9629000000000003</v>
      </c>
    </row>
    <row r="28" spans="1:10" x14ac:dyDescent="0.3">
      <c r="H28" t="s">
        <v>10</v>
      </c>
    </row>
    <row r="29" spans="1:10" x14ac:dyDescent="0.3">
      <c r="C29" t="s">
        <v>7</v>
      </c>
      <c r="D29" t="s">
        <v>6</v>
      </c>
      <c r="E29" t="s">
        <v>5</v>
      </c>
      <c r="F29" t="s">
        <v>19</v>
      </c>
      <c r="G29" t="s">
        <v>20</v>
      </c>
      <c r="I29" t="s">
        <v>15</v>
      </c>
      <c r="J29" s="1" t="s">
        <v>16</v>
      </c>
    </row>
    <row r="30" spans="1:10" x14ac:dyDescent="0.3">
      <c r="A30">
        <v>0</v>
      </c>
      <c r="B30" t="s">
        <v>4</v>
      </c>
      <c r="C30">
        <v>375</v>
      </c>
      <c r="D30">
        <v>260</v>
      </c>
      <c r="E30">
        <f t="shared" ref="E30:E35" si="1">$B$2-C30-D30</f>
        <v>9365</v>
      </c>
      <c r="F30">
        <v>6.6017000000000001</v>
      </c>
      <c r="G30">
        <v>6.5392999999999999</v>
      </c>
      <c r="I30" t="s">
        <v>11</v>
      </c>
      <c r="J30" s="1" t="s">
        <v>24</v>
      </c>
    </row>
    <row r="31" spans="1:10" x14ac:dyDescent="0.3">
      <c r="A31">
        <v>1</v>
      </c>
      <c r="B31" t="s">
        <v>3</v>
      </c>
      <c r="C31">
        <v>779</v>
      </c>
      <c r="D31">
        <v>739</v>
      </c>
      <c r="E31">
        <f t="shared" si="1"/>
        <v>8482</v>
      </c>
      <c r="F31">
        <v>8.5054999999999996</v>
      </c>
      <c r="G31">
        <v>8.4666999999999994</v>
      </c>
      <c r="I31" t="s">
        <v>12</v>
      </c>
      <c r="J31" s="1" t="s">
        <v>23</v>
      </c>
    </row>
    <row r="32" spans="1:10" x14ac:dyDescent="0.3">
      <c r="A32">
        <v>2</v>
      </c>
      <c r="B32" t="s">
        <v>2</v>
      </c>
      <c r="C32">
        <v>791</v>
      </c>
      <c r="D32">
        <v>992</v>
      </c>
      <c r="E32">
        <f t="shared" si="1"/>
        <v>8217</v>
      </c>
      <c r="F32">
        <v>8.9200999999999997</v>
      </c>
      <c r="G32">
        <v>8.9415999999999993</v>
      </c>
      <c r="I32" t="s">
        <v>13</v>
      </c>
      <c r="J32" s="1" t="s">
        <v>21</v>
      </c>
    </row>
    <row r="33" spans="1:7" x14ac:dyDescent="0.3">
      <c r="A33">
        <v>3</v>
      </c>
      <c r="B33" t="s">
        <v>1</v>
      </c>
      <c r="C33">
        <v>768</v>
      </c>
      <c r="D33">
        <v>1232</v>
      </c>
      <c r="E33">
        <f t="shared" si="1"/>
        <v>8000</v>
      </c>
      <c r="F33">
        <v>8.8567999999999998</v>
      </c>
      <c r="G33">
        <v>8.9636999999999993</v>
      </c>
    </row>
    <row r="34" spans="1:7" x14ac:dyDescent="0.3">
      <c r="A34">
        <v>4</v>
      </c>
      <c r="B34" t="s">
        <v>0</v>
      </c>
      <c r="C34">
        <v>2132</v>
      </c>
      <c r="D34">
        <v>315</v>
      </c>
      <c r="E34">
        <f t="shared" si="1"/>
        <v>7553</v>
      </c>
      <c r="F34">
        <v>8.9923999999999999</v>
      </c>
      <c r="G34">
        <v>8.2652000000000001</v>
      </c>
    </row>
    <row r="35" spans="1:7" x14ac:dyDescent="0.3">
      <c r="A35">
        <v>5</v>
      </c>
      <c r="B35" t="s">
        <v>18</v>
      </c>
      <c r="C35">
        <v>756</v>
      </c>
      <c r="D35">
        <v>981</v>
      </c>
      <c r="E35">
        <f t="shared" si="1"/>
        <v>8263</v>
      </c>
      <c r="F35">
        <v>9.0993999999999993</v>
      </c>
      <c r="G35">
        <v>9.1472999999999995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E3F47-83DB-4375-8998-EB0450300E4C}">
  <dimension ref="A1:K38"/>
  <sheetViews>
    <sheetView workbookViewId="0">
      <selection activeCell="C26" sqref="C26"/>
    </sheetView>
  </sheetViews>
  <sheetFormatPr defaultRowHeight="14.4" x14ac:dyDescent="0.3"/>
  <cols>
    <col min="1" max="1" width="18.6640625" bestFit="1" customWidth="1"/>
    <col min="2" max="2" width="16.33203125" bestFit="1" customWidth="1"/>
    <col min="3" max="3" width="15.5546875" bestFit="1" customWidth="1"/>
    <col min="4" max="4" width="22" bestFit="1" customWidth="1"/>
    <col min="5" max="5" width="22.5546875" bestFit="1" customWidth="1"/>
    <col min="6" max="6" width="19" bestFit="1" customWidth="1"/>
    <col min="7" max="7" width="7.33203125" bestFit="1" customWidth="1"/>
  </cols>
  <sheetData>
    <row r="1" spans="1:11" x14ac:dyDescent="0.3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0</v>
      </c>
    </row>
    <row r="2" spans="1:11" x14ac:dyDescent="0.3">
      <c r="A2" t="s">
        <v>31</v>
      </c>
      <c r="B2">
        <v>11</v>
      </c>
      <c r="C2">
        <v>12</v>
      </c>
      <c r="D2">
        <v>12</v>
      </c>
      <c r="E2">
        <v>12</v>
      </c>
      <c r="F2">
        <v>26</v>
      </c>
      <c r="G2">
        <v>12</v>
      </c>
      <c r="I2" t="s">
        <v>39</v>
      </c>
      <c r="J2">
        <v>50</v>
      </c>
    </row>
    <row r="3" spans="1:11" x14ac:dyDescent="0.3">
      <c r="A3" t="s">
        <v>32</v>
      </c>
      <c r="B3">
        <v>9</v>
      </c>
      <c r="C3">
        <v>12</v>
      </c>
      <c r="D3">
        <v>10</v>
      </c>
      <c r="E3">
        <v>10</v>
      </c>
      <c r="F3">
        <v>23</v>
      </c>
      <c r="G3">
        <v>10</v>
      </c>
      <c r="I3" t="s">
        <v>40</v>
      </c>
      <c r="J3" s="3" t="s">
        <v>41</v>
      </c>
      <c r="K3" t="s">
        <v>44</v>
      </c>
    </row>
    <row r="4" spans="1:11" x14ac:dyDescent="0.3">
      <c r="A4" t="s">
        <v>22</v>
      </c>
      <c r="B4">
        <v>1</v>
      </c>
      <c r="C4">
        <v>2</v>
      </c>
      <c r="D4">
        <v>1</v>
      </c>
      <c r="E4">
        <v>1</v>
      </c>
      <c r="F4">
        <v>5</v>
      </c>
      <c r="G4">
        <v>1</v>
      </c>
    </row>
    <row r="5" spans="1:11" x14ac:dyDescent="0.3">
      <c r="A5" t="s">
        <v>33</v>
      </c>
      <c r="B5">
        <v>34</v>
      </c>
      <c r="C5">
        <v>32</v>
      </c>
      <c r="D5">
        <v>34</v>
      </c>
      <c r="E5">
        <v>34</v>
      </c>
      <c r="F5">
        <v>39</v>
      </c>
      <c r="G5">
        <v>28</v>
      </c>
    </row>
    <row r="6" spans="1:11" x14ac:dyDescent="0.3">
      <c r="A6" t="s">
        <v>34</v>
      </c>
      <c r="B6">
        <v>20</v>
      </c>
      <c r="C6">
        <v>22</v>
      </c>
      <c r="D6">
        <v>24</v>
      </c>
      <c r="E6">
        <v>24</v>
      </c>
      <c r="F6">
        <v>27</v>
      </c>
      <c r="G6">
        <v>32</v>
      </c>
    </row>
    <row r="7" spans="1:11" x14ac:dyDescent="0.3">
      <c r="A7" t="s">
        <v>35</v>
      </c>
      <c r="B7">
        <v>12</v>
      </c>
      <c r="C7">
        <v>17</v>
      </c>
      <c r="D7">
        <v>13</v>
      </c>
      <c r="E7">
        <v>17</v>
      </c>
      <c r="F7">
        <v>25</v>
      </c>
      <c r="G7">
        <v>12</v>
      </c>
    </row>
    <row r="8" spans="1:11" x14ac:dyDescent="0.3">
      <c r="A8" t="s">
        <v>36</v>
      </c>
      <c r="B8">
        <v>3</v>
      </c>
      <c r="C8">
        <v>3</v>
      </c>
      <c r="D8">
        <v>2</v>
      </c>
      <c r="E8">
        <v>2</v>
      </c>
      <c r="F8">
        <v>9</v>
      </c>
      <c r="G8">
        <v>4</v>
      </c>
    </row>
    <row r="9" spans="1:11" x14ac:dyDescent="0.3">
      <c r="A9" t="s">
        <v>37</v>
      </c>
      <c r="B9">
        <v>0</v>
      </c>
      <c r="C9">
        <v>1</v>
      </c>
      <c r="D9">
        <v>0</v>
      </c>
      <c r="E9">
        <v>0</v>
      </c>
      <c r="F9">
        <v>0</v>
      </c>
      <c r="G9">
        <v>0</v>
      </c>
    </row>
    <row r="10" spans="1:11" x14ac:dyDescent="0.3">
      <c r="A10" t="s">
        <v>38</v>
      </c>
      <c r="B10">
        <v>12</v>
      </c>
      <c r="C10">
        <v>12</v>
      </c>
      <c r="D10">
        <v>12</v>
      </c>
      <c r="E10">
        <v>11</v>
      </c>
      <c r="F10">
        <v>20</v>
      </c>
      <c r="G10">
        <v>12</v>
      </c>
    </row>
    <row r="13" spans="1:11" x14ac:dyDescent="0.3">
      <c r="B13" s="2"/>
    </row>
    <row r="15" spans="1:11" x14ac:dyDescent="0.3">
      <c r="A15" t="s">
        <v>25</v>
      </c>
      <c r="B15" t="s">
        <v>26</v>
      </c>
      <c r="C15" t="s">
        <v>27</v>
      </c>
      <c r="D15" t="s">
        <v>28</v>
      </c>
      <c r="E15" t="s">
        <v>29</v>
      </c>
      <c r="F15" t="s">
        <v>30</v>
      </c>
      <c r="G15" t="s">
        <v>0</v>
      </c>
    </row>
    <row r="16" spans="1:11" x14ac:dyDescent="0.3">
      <c r="A16" t="s">
        <v>31</v>
      </c>
      <c r="B16">
        <v>11</v>
      </c>
      <c r="C16">
        <v>10</v>
      </c>
      <c r="D16">
        <v>8</v>
      </c>
      <c r="E16">
        <v>10</v>
      </c>
      <c r="F16">
        <v>25</v>
      </c>
      <c r="G16">
        <v>9</v>
      </c>
      <c r="I16" t="s">
        <v>39</v>
      </c>
      <c r="J16">
        <v>50</v>
      </c>
    </row>
    <row r="17" spans="1:11" x14ac:dyDescent="0.3">
      <c r="A17" t="s">
        <v>32</v>
      </c>
      <c r="B17">
        <v>7</v>
      </c>
      <c r="C17">
        <v>7</v>
      </c>
      <c r="D17">
        <v>7</v>
      </c>
      <c r="E17">
        <v>7</v>
      </c>
      <c r="F17">
        <v>23</v>
      </c>
      <c r="G17">
        <v>7</v>
      </c>
      <c r="I17" t="s">
        <v>40</v>
      </c>
      <c r="J17" s="3" t="s">
        <v>42</v>
      </c>
      <c r="K17" t="s">
        <v>44</v>
      </c>
    </row>
    <row r="18" spans="1:11" x14ac:dyDescent="0.3">
      <c r="A18" t="s">
        <v>22</v>
      </c>
      <c r="B18">
        <v>1</v>
      </c>
      <c r="C18">
        <v>0</v>
      </c>
      <c r="D18">
        <v>0</v>
      </c>
      <c r="E18">
        <v>0</v>
      </c>
      <c r="F18">
        <v>3</v>
      </c>
      <c r="G18">
        <v>0</v>
      </c>
    </row>
    <row r="19" spans="1:11" x14ac:dyDescent="0.3">
      <c r="A19" t="s">
        <v>33</v>
      </c>
      <c r="B19">
        <v>21</v>
      </c>
      <c r="C19">
        <v>34</v>
      </c>
      <c r="D19">
        <v>25</v>
      </c>
      <c r="E19">
        <v>35</v>
      </c>
      <c r="F19">
        <v>42</v>
      </c>
      <c r="G19">
        <v>28</v>
      </c>
    </row>
    <row r="20" spans="1:11" x14ac:dyDescent="0.3">
      <c r="A20" t="s">
        <v>34</v>
      </c>
      <c r="B20">
        <v>22</v>
      </c>
      <c r="C20">
        <v>13</v>
      </c>
      <c r="D20">
        <v>23</v>
      </c>
      <c r="E20">
        <v>13</v>
      </c>
      <c r="F20">
        <v>22</v>
      </c>
      <c r="G20">
        <v>23</v>
      </c>
    </row>
    <row r="21" spans="1:11" x14ac:dyDescent="0.3">
      <c r="A21" t="s">
        <v>35</v>
      </c>
      <c r="B21">
        <v>11</v>
      </c>
      <c r="C21">
        <v>9</v>
      </c>
      <c r="D21">
        <v>9</v>
      </c>
      <c r="E21">
        <v>9</v>
      </c>
      <c r="F21">
        <v>25</v>
      </c>
      <c r="G21">
        <v>10</v>
      </c>
    </row>
    <row r="22" spans="1:11" x14ac:dyDescent="0.3">
      <c r="A22" t="s">
        <v>36</v>
      </c>
      <c r="B22">
        <v>2</v>
      </c>
      <c r="C22">
        <v>1</v>
      </c>
      <c r="D22">
        <v>2</v>
      </c>
      <c r="E22">
        <v>0</v>
      </c>
      <c r="F22">
        <v>7</v>
      </c>
      <c r="G22">
        <v>1</v>
      </c>
    </row>
    <row r="23" spans="1:11" x14ac:dyDescent="0.3">
      <c r="A23" t="s">
        <v>37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11" x14ac:dyDescent="0.3">
      <c r="A24" t="s">
        <v>38</v>
      </c>
      <c r="B24">
        <v>10</v>
      </c>
      <c r="C24">
        <v>8</v>
      </c>
      <c r="D24">
        <v>8</v>
      </c>
      <c r="E24">
        <v>9</v>
      </c>
      <c r="F24">
        <v>22</v>
      </c>
      <c r="G24">
        <v>7</v>
      </c>
    </row>
    <row r="29" spans="1:11" x14ac:dyDescent="0.3">
      <c r="A29" t="s">
        <v>25</v>
      </c>
      <c r="B29" t="s">
        <v>26</v>
      </c>
      <c r="C29" t="s">
        <v>27</v>
      </c>
      <c r="D29" t="s">
        <v>28</v>
      </c>
      <c r="E29" t="s">
        <v>29</v>
      </c>
      <c r="F29" t="s">
        <v>30</v>
      </c>
      <c r="G29" t="s">
        <v>0</v>
      </c>
    </row>
    <row r="30" spans="1:11" x14ac:dyDescent="0.3">
      <c r="A30" t="s">
        <v>31</v>
      </c>
      <c r="B30">
        <v>16</v>
      </c>
      <c r="C30">
        <v>18</v>
      </c>
      <c r="D30">
        <v>16</v>
      </c>
      <c r="E30">
        <v>16</v>
      </c>
      <c r="F30">
        <v>34</v>
      </c>
      <c r="G30">
        <v>18</v>
      </c>
      <c r="I30" t="s">
        <v>39</v>
      </c>
      <c r="J30">
        <v>50</v>
      </c>
    </row>
    <row r="31" spans="1:11" x14ac:dyDescent="0.3">
      <c r="A31" t="s">
        <v>32</v>
      </c>
      <c r="B31">
        <v>17</v>
      </c>
      <c r="C31">
        <v>18</v>
      </c>
      <c r="D31">
        <v>17</v>
      </c>
      <c r="E31">
        <v>17</v>
      </c>
      <c r="F31">
        <v>36</v>
      </c>
      <c r="G31">
        <v>17</v>
      </c>
      <c r="I31" t="s">
        <v>40</v>
      </c>
      <c r="J31" s="3" t="s">
        <v>43</v>
      </c>
      <c r="K31" t="s">
        <v>44</v>
      </c>
    </row>
    <row r="32" spans="1:11" x14ac:dyDescent="0.3">
      <c r="A32" t="s">
        <v>22</v>
      </c>
      <c r="B32">
        <v>1</v>
      </c>
      <c r="C32">
        <v>1</v>
      </c>
      <c r="D32">
        <v>1</v>
      </c>
      <c r="E32">
        <v>1</v>
      </c>
      <c r="F32">
        <v>5</v>
      </c>
      <c r="G32">
        <v>1</v>
      </c>
    </row>
    <row r="33" spans="1:7" x14ac:dyDescent="0.3">
      <c r="A33" t="s">
        <v>33</v>
      </c>
      <c r="B33">
        <v>39</v>
      </c>
      <c r="C33">
        <v>39</v>
      </c>
      <c r="D33">
        <v>33</v>
      </c>
      <c r="E33">
        <v>39</v>
      </c>
      <c r="F33">
        <v>47</v>
      </c>
      <c r="G33">
        <v>34</v>
      </c>
    </row>
    <row r="34" spans="1:7" x14ac:dyDescent="0.3">
      <c r="A34" t="s">
        <v>34</v>
      </c>
      <c r="B34">
        <v>13</v>
      </c>
      <c r="C34">
        <v>13</v>
      </c>
      <c r="D34">
        <v>15</v>
      </c>
      <c r="E34">
        <v>15</v>
      </c>
      <c r="F34">
        <v>22</v>
      </c>
      <c r="G34">
        <v>18</v>
      </c>
    </row>
    <row r="35" spans="1:7" x14ac:dyDescent="0.3">
      <c r="A35" t="s">
        <v>35</v>
      </c>
      <c r="B35">
        <v>19</v>
      </c>
      <c r="C35">
        <v>19</v>
      </c>
      <c r="D35">
        <v>19</v>
      </c>
      <c r="E35">
        <v>17</v>
      </c>
      <c r="F35">
        <v>37</v>
      </c>
      <c r="G35">
        <v>19</v>
      </c>
    </row>
    <row r="36" spans="1:7" x14ac:dyDescent="0.3">
      <c r="A36" t="s">
        <v>36</v>
      </c>
      <c r="B36">
        <v>1</v>
      </c>
      <c r="C36">
        <v>1</v>
      </c>
      <c r="D36">
        <v>2</v>
      </c>
      <c r="E36">
        <v>2</v>
      </c>
      <c r="F36">
        <v>5</v>
      </c>
      <c r="G36">
        <v>2</v>
      </c>
    </row>
    <row r="37" spans="1:7" x14ac:dyDescent="0.3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3">
      <c r="A38" t="s">
        <v>38</v>
      </c>
      <c r="B38">
        <v>16</v>
      </c>
      <c r="C38">
        <v>15</v>
      </c>
      <c r="D38">
        <v>19</v>
      </c>
      <c r="E38">
        <v>18</v>
      </c>
      <c r="F38">
        <v>33</v>
      </c>
      <c r="G38">
        <v>15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0DF98-B192-4976-9A83-901FC2BA926F}">
  <dimension ref="A1:Z26"/>
  <sheetViews>
    <sheetView tabSelected="1" workbookViewId="0">
      <selection activeCell="K17" sqref="K17"/>
    </sheetView>
  </sheetViews>
  <sheetFormatPr defaultRowHeight="14.4" x14ac:dyDescent="0.3"/>
  <cols>
    <col min="5" max="5" width="14.77734375" bestFit="1" customWidth="1"/>
    <col min="6" max="6" width="15.21875" bestFit="1" customWidth="1"/>
    <col min="7" max="7" width="11" bestFit="1" customWidth="1"/>
    <col min="8" max="9" width="8.88671875" customWidth="1"/>
    <col min="10" max="10" width="12.77734375" bestFit="1" customWidth="1"/>
    <col min="14" max="19" width="8.77734375" customWidth="1"/>
  </cols>
  <sheetData>
    <row r="1" spans="1:26" x14ac:dyDescent="0.3">
      <c r="A1" t="s">
        <v>45</v>
      </c>
      <c r="N1" s="4" t="s">
        <v>47</v>
      </c>
      <c r="O1" s="5" t="s">
        <v>46</v>
      </c>
      <c r="P1" s="5" t="s">
        <v>53</v>
      </c>
      <c r="Q1" s="5"/>
      <c r="R1" s="5" t="s">
        <v>54</v>
      </c>
      <c r="S1" s="6"/>
      <c r="U1" s="4" t="s">
        <v>47</v>
      </c>
      <c r="V1" s="5" t="s">
        <v>46</v>
      </c>
      <c r="W1" s="5" t="s">
        <v>53</v>
      </c>
      <c r="X1" s="5"/>
      <c r="Y1" s="5" t="s">
        <v>63</v>
      </c>
      <c r="Z1" s="6"/>
    </row>
    <row r="2" spans="1:26" x14ac:dyDescent="0.3">
      <c r="N2" s="7" t="s">
        <v>56</v>
      </c>
      <c r="O2" s="8" t="s">
        <v>57</v>
      </c>
      <c r="P2" s="8" t="s">
        <v>58</v>
      </c>
      <c r="Q2" s="8" t="s">
        <v>59</v>
      </c>
      <c r="R2" s="8" t="s">
        <v>60</v>
      </c>
      <c r="S2" s="9" t="s">
        <v>61</v>
      </c>
      <c r="U2" s="7" t="s">
        <v>56</v>
      </c>
      <c r="V2" s="8" t="s">
        <v>57</v>
      </c>
      <c r="W2" s="8" t="s">
        <v>58</v>
      </c>
      <c r="X2" s="8" t="s">
        <v>59</v>
      </c>
      <c r="Y2" s="8" t="s">
        <v>60</v>
      </c>
      <c r="Z2" s="9" t="s">
        <v>61</v>
      </c>
    </row>
    <row r="3" spans="1:26" x14ac:dyDescent="0.3">
      <c r="B3" t="s">
        <v>46</v>
      </c>
      <c r="E3" t="s">
        <v>48</v>
      </c>
      <c r="F3" t="s">
        <v>49</v>
      </c>
      <c r="G3" t="s">
        <v>50</v>
      </c>
      <c r="H3" t="s">
        <v>51</v>
      </c>
      <c r="I3" t="s">
        <v>0</v>
      </c>
      <c r="J3" t="s">
        <v>18</v>
      </c>
      <c r="N3" s="7">
        <v>0.80600000000000005</v>
      </c>
      <c r="O3" s="8">
        <v>1.6830000000000001</v>
      </c>
      <c r="P3" s="8">
        <v>1.875</v>
      </c>
      <c r="Q3" s="8">
        <v>1.673</v>
      </c>
      <c r="R3" s="8">
        <v>4.2999999999999997E-2</v>
      </c>
      <c r="S3" s="9">
        <v>4.6100000000000003</v>
      </c>
      <c r="U3" s="7">
        <v>0.80900000000000005</v>
      </c>
      <c r="V3" s="8">
        <v>1.6659999999999999</v>
      </c>
      <c r="W3" s="8">
        <v>1.7749999999999999</v>
      </c>
      <c r="X3" s="8">
        <v>1.589</v>
      </c>
      <c r="Y3" s="8">
        <v>3.7999999999999999E-2</v>
      </c>
      <c r="Z3" s="9">
        <v>4.2839999999999998</v>
      </c>
    </row>
    <row r="4" spans="1:26" x14ac:dyDescent="0.3">
      <c r="B4" t="s">
        <v>53</v>
      </c>
      <c r="D4" t="s">
        <v>7</v>
      </c>
      <c r="E4">
        <f>AVERAGE(N3:N12)</f>
        <v>0.8052999999999999</v>
      </c>
      <c r="F4">
        <f>AVERAGE(O3:O12)</f>
        <v>1.6867000000000001</v>
      </c>
      <c r="G4">
        <f>AVERAGE(P3:P12)</f>
        <v>1.8861999999999999</v>
      </c>
      <c r="H4">
        <f>AVERAGE(Q3:Q12)</f>
        <v>1.6837</v>
      </c>
      <c r="I4">
        <f>AVERAGE(R3:R12)</f>
        <v>3.9699999999999999E-2</v>
      </c>
      <c r="J4">
        <f>AVERAGE(S3:S12)</f>
        <v>5.0495000000000001</v>
      </c>
      <c r="N4" s="7">
        <v>0.80800000000000005</v>
      </c>
      <c r="O4" s="8">
        <v>1.6879999999999999</v>
      </c>
      <c r="P4" s="8">
        <v>1.9419999999999999</v>
      </c>
      <c r="Q4" s="8">
        <v>1.6910000000000001</v>
      </c>
      <c r="R4" s="8">
        <v>4.1000000000000002E-2</v>
      </c>
      <c r="S4" s="9">
        <v>4.87</v>
      </c>
      <c r="U4" s="7">
        <v>0.78900000000000003</v>
      </c>
      <c r="V4" s="8">
        <v>1.6639999999999999</v>
      </c>
      <c r="W4" s="8">
        <v>1.766</v>
      </c>
      <c r="X4" s="8">
        <v>1.59</v>
      </c>
      <c r="Y4" s="8">
        <v>3.5000000000000003E-2</v>
      </c>
      <c r="Z4" s="9">
        <v>4.2530000000000001</v>
      </c>
    </row>
    <row r="5" spans="1:26" x14ac:dyDescent="0.3">
      <c r="B5" t="s">
        <v>55</v>
      </c>
      <c r="D5" t="s">
        <v>6</v>
      </c>
      <c r="E5">
        <f>AVERAGE(N17:N26)</f>
        <v>0.44160000000000005</v>
      </c>
      <c r="F5">
        <f>AVERAGE(O17:O26)</f>
        <v>0.6552</v>
      </c>
      <c r="G5">
        <f>AVERAGE(P17:P26)</f>
        <v>0.84130000000000005</v>
      </c>
      <c r="H5">
        <f>AVERAGE(Q17:Q26)</f>
        <v>0.75209999999999988</v>
      </c>
      <c r="I5">
        <f>AVERAGE(R17:R26)</f>
        <v>3.4200000000000008E-2</v>
      </c>
      <c r="J5">
        <f>AVERAGE(S17:S26)</f>
        <v>4.2415000000000003</v>
      </c>
      <c r="N5" s="7">
        <v>0.81399999999999995</v>
      </c>
      <c r="O5" s="8">
        <v>1.6859999999999999</v>
      </c>
      <c r="P5" s="8">
        <v>1.952</v>
      </c>
      <c r="Q5" s="8">
        <v>1.6719999999999999</v>
      </c>
      <c r="R5" s="8">
        <v>3.9E-2</v>
      </c>
      <c r="S5" s="9">
        <v>5.5190000000000001</v>
      </c>
      <c r="U5" s="7">
        <v>0.77900000000000003</v>
      </c>
      <c r="V5" s="8">
        <v>1.6659999999999999</v>
      </c>
      <c r="W5" s="8">
        <v>1.7729999999999999</v>
      </c>
      <c r="X5" s="8">
        <v>1.587</v>
      </c>
      <c r="Y5" s="8">
        <v>3.5999999999999997E-2</v>
      </c>
      <c r="Z5" s="9">
        <v>4.2510000000000003</v>
      </c>
    </row>
    <row r="6" spans="1:26" x14ac:dyDescent="0.3">
      <c r="N6" s="7">
        <v>0.83699999999999997</v>
      </c>
      <c r="O6" s="8">
        <v>1.6850000000000001</v>
      </c>
      <c r="P6" s="8">
        <v>1.871</v>
      </c>
      <c r="Q6" s="8">
        <v>1.6950000000000001</v>
      </c>
      <c r="R6" s="8">
        <v>3.7999999999999999E-2</v>
      </c>
      <c r="S6" s="9">
        <v>4.7270000000000003</v>
      </c>
      <c r="U6" s="7">
        <v>0.80700000000000005</v>
      </c>
      <c r="V6" s="8">
        <v>1.669</v>
      </c>
      <c r="W6" s="8">
        <v>1.772</v>
      </c>
      <c r="X6" s="8">
        <v>1.5840000000000001</v>
      </c>
      <c r="Y6" s="8">
        <v>3.5000000000000003E-2</v>
      </c>
      <c r="Z6" s="9">
        <v>4.266</v>
      </c>
    </row>
    <row r="7" spans="1:26" x14ac:dyDescent="0.3">
      <c r="N7" s="7">
        <v>0.81100000000000005</v>
      </c>
      <c r="O7" s="8">
        <v>1.681</v>
      </c>
      <c r="P7" s="8">
        <v>1.8660000000000001</v>
      </c>
      <c r="Q7" s="8">
        <v>1.68</v>
      </c>
      <c r="R7" s="8">
        <v>3.7999999999999999E-2</v>
      </c>
      <c r="S7" s="9">
        <v>4.9290000000000003</v>
      </c>
      <c r="U7" s="7">
        <v>0.77800000000000002</v>
      </c>
      <c r="V7" s="8">
        <v>1.67</v>
      </c>
      <c r="W7" s="8">
        <v>1.772</v>
      </c>
      <c r="X7" s="8">
        <v>1.5820000000000001</v>
      </c>
      <c r="Y7" s="8">
        <v>3.6999999999999998E-2</v>
      </c>
      <c r="Z7" s="9">
        <v>4.2720000000000002</v>
      </c>
    </row>
    <row r="8" spans="1:26" x14ac:dyDescent="0.3">
      <c r="B8" t="s">
        <v>46</v>
      </c>
      <c r="E8" t="s">
        <v>48</v>
      </c>
      <c r="F8" t="s">
        <v>49</v>
      </c>
      <c r="G8" t="s">
        <v>50</v>
      </c>
      <c r="H8" t="s">
        <v>51</v>
      </c>
      <c r="I8" t="s">
        <v>0</v>
      </c>
      <c r="J8" t="s">
        <v>18</v>
      </c>
      <c r="N8" s="7">
        <v>0.80900000000000005</v>
      </c>
      <c r="O8" s="8">
        <v>1.6819999999999999</v>
      </c>
      <c r="P8" s="8">
        <v>1.8919999999999999</v>
      </c>
      <c r="Q8" s="8">
        <v>1.6990000000000001</v>
      </c>
      <c r="R8" s="8">
        <v>0.04</v>
      </c>
      <c r="S8" s="9">
        <v>4.5940000000000003</v>
      </c>
      <c r="U8" s="7">
        <v>0.77900000000000003</v>
      </c>
      <c r="V8" s="8">
        <v>1.6639999999999999</v>
      </c>
      <c r="W8" s="8">
        <v>1.7709999999999999</v>
      </c>
      <c r="X8" s="8">
        <v>1.583</v>
      </c>
      <c r="Y8" s="8">
        <v>3.6999999999999998E-2</v>
      </c>
      <c r="Z8" s="9">
        <v>4.266</v>
      </c>
    </row>
    <row r="9" spans="1:26" x14ac:dyDescent="0.3">
      <c r="B9" t="s">
        <v>53</v>
      </c>
      <c r="D9" t="s">
        <v>7</v>
      </c>
      <c r="E9">
        <f>AVERAGE(U3:U12)</f>
        <v>0.78700000000000003</v>
      </c>
      <c r="F9">
        <f t="shared" ref="F9:J9" si="0">AVERAGE(V3:V12)</f>
        <v>1.6664000000000001</v>
      </c>
      <c r="G9">
        <f t="shared" si="0"/>
        <v>1.7712000000000003</v>
      </c>
      <c r="H9">
        <f t="shared" si="0"/>
        <v>1.5856999999999999</v>
      </c>
      <c r="I9">
        <f t="shared" si="0"/>
        <v>3.5499999999999997E-2</v>
      </c>
      <c r="J9">
        <f t="shared" si="0"/>
        <v>4.3285999999999998</v>
      </c>
      <c r="N9" s="7">
        <v>0.80800000000000005</v>
      </c>
      <c r="O9" s="8">
        <v>1.681</v>
      </c>
      <c r="P9" s="8">
        <v>1.875</v>
      </c>
      <c r="Q9" s="8">
        <v>1.6859999999999999</v>
      </c>
      <c r="R9" s="8">
        <v>3.9E-2</v>
      </c>
      <c r="S9" s="9">
        <v>4.6319999999999997</v>
      </c>
      <c r="U9" s="7">
        <v>0.79700000000000004</v>
      </c>
      <c r="V9" s="8">
        <v>1.663</v>
      </c>
      <c r="W9" s="8">
        <v>1.768</v>
      </c>
      <c r="X9" s="8">
        <v>1.5840000000000001</v>
      </c>
      <c r="Y9" s="8">
        <v>3.5000000000000003E-2</v>
      </c>
      <c r="Z9" s="9">
        <v>4.2690000000000001</v>
      </c>
    </row>
    <row r="10" spans="1:26" x14ac:dyDescent="0.3">
      <c r="B10" t="s">
        <v>62</v>
      </c>
      <c r="D10" t="s">
        <v>6</v>
      </c>
      <c r="E10">
        <f>AVERAGE(U17:U26)</f>
        <v>0.43629999999999997</v>
      </c>
      <c r="F10">
        <f t="shared" ref="F10:J10" si="1">AVERAGE(V17:V26)</f>
        <v>0.64450000000000007</v>
      </c>
      <c r="G10">
        <f t="shared" si="1"/>
        <v>0.85640000000000005</v>
      </c>
      <c r="H10">
        <f t="shared" si="1"/>
        <v>0.76040000000000008</v>
      </c>
      <c r="I10">
        <f t="shared" si="1"/>
        <v>3.3800000000000004E-2</v>
      </c>
      <c r="J10">
        <f t="shared" si="1"/>
        <v>4.1614000000000004</v>
      </c>
      <c r="N10" s="7">
        <v>0.78900000000000003</v>
      </c>
      <c r="O10" s="8">
        <v>1.6779999999999999</v>
      </c>
      <c r="P10" s="8">
        <v>1.8580000000000001</v>
      </c>
      <c r="Q10" s="8">
        <v>1.673</v>
      </c>
      <c r="R10" s="8">
        <v>3.9E-2</v>
      </c>
      <c r="S10" s="9">
        <v>5.4859999999999998</v>
      </c>
      <c r="U10" s="7">
        <v>0.77900000000000003</v>
      </c>
      <c r="V10" s="8">
        <v>1.6639999999999999</v>
      </c>
      <c r="W10" s="8">
        <v>1.774</v>
      </c>
      <c r="X10" s="8">
        <v>1.5860000000000001</v>
      </c>
      <c r="Y10" s="8">
        <v>3.5999999999999997E-2</v>
      </c>
      <c r="Z10" s="9">
        <v>4.5720000000000001</v>
      </c>
    </row>
    <row r="11" spans="1:26" x14ac:dyDescent="0.3">
      <c r="N11" s="7">
        <v>0.78500000000000003</v>
      </c>
      <c r="O11" s="8">
        <v>1.7110000000000001</v>
      </c>
      <c r="P11" s="8">
        <v>1.86</v>
      </c>
      <c r="Q11" s="8">
        <v>1.6990000000000001</v>
      </c>
      <c r="R11" s="8">
        <v>3.6999999999999998E-2</v>
      </c>
      <c r="S11" s="9">
        <v>5.5140000000000002</v>
      </c>
      <c r="U11" s="7">
        <v>0.78</v>
      </c>
      <c r="V11" s="8">
        <v>1.669</v>
      </c>
      <c r="W11" s="8">
        <v>1.7709999999999999</v>
      </c>
      <c r="X11" s="8">
        <v>1.589</v>
      </c>
      <c r="Y11" s="8">
        <v>3.3000000000000002E-2</v>
      </c>
      <c r="Z11" s="9">
        <v>4.4939999999999998</v>
      </c>
    </row>
    <row r="12" spans="1:26" x14ac:dyDescent="0.3">
      <c r="N12" s="7">
        <v>0.78600000000000003</v>
      </c>
      <c r="O12" s="8">
        <v>1.6919999999999999</v>
      </c>
      <c r="P12" s="8">
        <v>1.871</v>
      </c>
      <c r="Q12" s="8">
        <v>1.669</v>
      </c>
      <c r="R12" s="8">
        <v>4.2999999999999997E-2</v>
      </c>
      <c r="S12" s="9">
        <v>5.6139999999999999</v>
      </c>
      <c r="U12" s="7">
        <v>0.77300000000000002</v>
      </c>
      <c r="V12" s="8">
        <v>1.669</v>
      </c>
      <c r="W12" s="8">
        <v>1.77</v>
      </c>
      <c r="X12" s="8">
        <v>1.583</v>
      </c>
      <c r="Y12" s="8">
        <v>3.3000000000000002E-2</v>
      </c>
      <c r="Z12" s="9">
        <v>4.359</v>
      </c>
    </row>
    <row r="13" spans="1:26" x14ac:dyDescent="0.3">
      <c r="N13" s="7"/>
      <c r="O13" s="8"/>
      <c r="P13" s="8"/>
      <c r="Q13" s="8"/>
      <c r="R13" s="8"/>
      <c r="S13" s="9"/>
      <c r="U13" s="7"/>
      <c r="V13" s="8"/>
      <c r="W13" s="8"/>
      <c r="X13" s="8"/>
      <c r="Y13" s="8"/>
      <c r="Z13" s="9"/>
    </row>
    <row r="14" spans="1:26" x14ac:dyDescent="0.3">
      <c r="N14" s="7"/>
      <c r="O14" s="8"/>
      <c r="P14" s="8"/>
      <c r="Q14" s="8"/>
      <c r="R14" s="8"/>
      <c r="S14" s="9"/>
      <c r="U14" s="7"/>
      <c r="V14" s="8"/>
      <c r="W14" s="8"/>
      <c r="X14" s="8"/>
      <c r="Y14" s="8"/>
      <c r="Z14" s="9"/>
    </row>
    <row r="15" spans="1:26" x14ac:dyDescent="0.3">
      <c r="N15" s="7" t="s">
        <v>52</v>
      </c>
      <c r="O15" s="8"/>
      <c r="P15" s="8"/>
      <c r="Q15" s="8"/>
      <c r="R15" s="8"/>
      <c r="S15" s="9"/>
      <c r="U15" s="7" t="s">
        <v>52</v>
      </c>
      <c r="V15" s="8"/>
      <c r="W15" s="8"/>
      <c r="X15" s="8"/>
      <c r="Y15" s="8"/>
      <c r="Z15" s="9"/>
    </row>
    <row r="16" spans="1:26" x14ac:dyDescent="0.3">
      <c r="N16" s="7" t="s">
        <v>56</v>
      </c>
      <c r="O16" s="8" t="s">
        <v>57</v>
      </c>
      <c r="P16" s="8" t="s">
        <v>58</v>
      </c>
      <c r="Q16" s="8" t="s">
        <v>59</v>
      </c>
      <c r="R16" s="8" t="s">
        <v>60</v>
      </c>
      <c r="S16" s="9" t="s">
        <v>61</v>
      </c>
      <c r="U16" s="7" t="s">
        <v>56</v>
      </c>
      <c r="V16" s="8" t="s">
        <v>57</v>
      </c>
      <c r="W16" s="8" t="s">
        <v>58</v>
      </c>
      <c r="X16" s="8" t="s">
        <v>59</v>
      </c>
      <c r="Y16" s="8" t="s">
        <v>60</v>
      </c>
      <c r="Z16" s="9" t="s">
        <v>61</v>
      </c>
    </row>
    <row r="17" spans="14:26" x14ac:dyDescent="0.3">
      <c r="N17" s="7">
        <v>0.437</v>
      </c>
      <c r="O17" s="8">
        <v>0.66600000000000004</v>
      </c>
      <c r="P17" s="8">
        <v>0.84699999999999998</v>
      </c>
      <c r="Q17" s="8">
        <v>0.751</v>
      </c>
      <c r="R17" s="8">
        <v>3.5999999999999997E-2</v>
      </c>
      <c r="S17" s="9">
        <v>3.8610000000000002</v>
      </c>
      <c r="U17" s="7">
        <v>0.439</v>
      </c>
      <c r="V17" s="8">
        <v>0.65100000000000002</v>
      </c>
      <c r="W17" s="8">
        <v>0.83899999999999997</v>
      </c>
      <c r="X17" s="8">
        <v>0.77300000000000002</v>
      </c>
      <c r="Y17" s="8">
        <v>3.5000000000000003E-2</v>
      </c>
      <c r="Z17" s="9">
        <v>3.8130000000000002</v>
      </c>
    </row>
    <row r="18" spans="14:26" x14ac:dyDescent="0.3">
      <c r="N18" s="7">
        <v>0.434</v>
      </c>
      <c r="O18" s="8">
        <v>0.65800000000000003</v>
      </c>
      <c r="P18" s="8">
        <v>0.85499999999999998</v>
      </c>
      <c r="Q18" s="8">
        <v>0.753</v>
      </c>
      <c r="R18" s="8">
        <v>3.5000000000000003E-2</v>
      </c>
      <c r="S18" s="9">
        <v>3.794</v>
      </c>
      <c r="U18" s="7">
        <v>0.438</v>
      </c>
      <c r="V18" s="8">
        <v>0.65</v>
      </c>
      <c r="W18" s="8">
        <v>0.88400000000000001</v>
      </c>
      <c r="X18" s="8">
        <v>0.77</v>
      </c>
      <c r="Y18" s="8">
        <v>3.4000000000000002E-2</v>
      </c>
      <c r="Z18" s="9">
        <v>3.7709999999999999</v>
      </c>
    </row>
    <row r="19" spans="14:26" x14ac:dyDescent="0.3">
      <c r="N19" s="7">
        <v>0.441</v>
      </c>
      <c r="O19" s="8">
        <v>0.66</v>
      </c>
      <c r="P19" s="8">
        <v>0.84399999999999997</v>
      </c>
      <c r="Q19" s="8">
        <v>0.754</v>
      </c>
      <c r="R19" s="8">
        <v>3.6999999999999998E-2</v>
      </c>
      <c r="S19" s="9">
        <v>4.0380000000000003</v>
      </c>
      <c r="U19" s="7">
        <v>0.439</v>
      </c>
      <c r="V19" s="8">
        <v>0.65500000000000003</v>
      </c>
      <c r="W19" s="8">
        <v>0.85499999999999998</v>
      </c>
      <c r="X19" s="8">
        <v>0.76100000000000001</v>
      </c>
      <c r="Y19" s="8">
        <v>3.3000000000000002E-2</v>
      </c>
      <c r="Z19" s="9">
        <v>4.3090000000000002</v>
      </c>
    </row>
    <row r="20" spans="14:26" x14ac:dyDescent="0.3">
      <c r="N20" s="7">
        <v>0.441</v>
      </c>
      <c r="O20" s="8">
        <v>0.66900000000000004</v>
      </c>
      <c r="P20" s="8">
        <v>0.83799999999999997</v>
      </c>
      <c r="Q20" s="8">
        <v>0.753</v>
      </c>
      <c r="R20" s="8">
        <v>3.2000000000000001E-2</v>
      </c>
      <c r="S20" s="9">
        <v>4.5279999999999996</v>
      </c>
      <c r="U20" s="7">
        <v>0.436</v>
      </c>
      <c r="V20" s="8">
        <v>0.66700000000000004</v>
      </c>
      <c r="W20" s="8">
        <v>0.874</v>
      </c>
      <c r="X20" s="8">
        <v>0.77</v>
      </c>
      <c r="Y20" s="8">
        <v>3.4000000000000002E-2</v>
      </c>
      <c r="Z20" s="9">
        <v>4.0910000000000002</v>
      </c>
    </row>
    <row r="21" spans="14:26" x14ac:dyDescent="0.3">
      <c r="N21" s="7">
        <v>0.438</v>
      </c>
      <c r="O21" s="8">
        <v>0.65100000000000002</v>
      </c>
      <c r="P21" s="8">
        <v>0.83599999999999997</v>
      </c>
      <c r="Q21" s="8">
        <v>0.752</v>
      </c>
      <c r="R21" s="8">
        <v>3.2000000000000001E-2</v>
      </c>
      <c r="S21" s="9">
        <v>4.4370000000000003</v>
      </c>
      <c r="U21" s="7">
        <v>0.432</v>
      </c>
      <c r="V21" s="8">
        <v>0.65500000000000003</v>
      </c>
      <c r="W21" s="8">
        <v>0.84199999999999997</v>
      </c>
      <c r="X21" s="8">
        <v>0.77</v>
      </c>
      <c r="Y21" s="8">
        <v>3.5000000000000003E-2</v>
      </c>
      <c r="Z21" s="9">
        <v>4.0259999999999998</v>
      </c>
    </row>
    <row r="22" spans="14:26" x14ac:dyDescent="0.3">
      <c r="N22" s="7">
        <v>0.436</v>
      </c>
      <c r="O22" s="8">
        <v>0.65300000000000002</v>
      </c>
      <c r="P22" s="8">
        <v>0.83799999999999997</v>
      </c>
      <c r="Q22" s="8">
        <v>0.752</v>
      </c>
      <c r="R22" s="8">
        <v>3.3000000000000002E-2</v>
      </c>
      <c r="S22" s="9">
        <v>4.1870000000000003</v>
      </c>
      <c r="U22" s="7">
        <v>0.437</v>
      </c>
      <c r="V22" s="8">
        <v>0.63700000000000001</v>
      </c>
      <c r="W22" s="8">
        <v>0.85599999999999998</v>
      </c>
      <c r="X22" s="8">
        <v>0.751</v>
      </c>
      <c r="Y22" s="8">
        <v>3.2000000000000001E-2</v>
      </c>
      <c r="Z22" s="9">
        <v>4.07</v>
      </c>
    </row>
    <row r="23" spans="14:26" x14ac:dyDescent="0.3">
      <c r="N23" s="7">
        <v>0.44700000000000001</v>
      </c>
      <c r="O23" s="8">
        <v>0.64600000000000002</v>
      </c>
      <c r="P23" s="8">
        <v>0.84</v>
      </c>
      <c r="Q23" s="8">
        <v>0.752</v>
      </c>
      <c r="R23" s="8">
        <v>3.3000000000000002E-2</v>
      </c>
      <c r="S23" s="9">
        <v>4.7080000000000002</v>
      </c>
      <c r="U23" s="7">
        <v>0.436</v>
      </c>
      <c r="V23" s="8">
        <v>0.63200000000000001</v>
      </c>
      <c r="W23" s="8">
        <v>0.84399999999999997</v>
      </c>
      <c r="X23" s="8">
        <v>0.753</v>
      </c>
      <c r="Y23" s="8">
        <v>3.3000000000000002E-2</v>
      </c>
      <c r="Z23" s="9">
        <v>4.5540000000000003</v>
      </c>
    </row>
    <row r="24" spans="14:26" x14ac:dyDescent="0.3">
      <c r="N24" s="7">
        <v>0.438</v>
      </c>
      <c r="O24" s="8">
        <v>0.65300000000000002</v>
      </c>
      <c r="P24" s="8">
        <v>0.83799999999999997</v>
      </c>
      <c r="Q24" s="8">
        <v>0.749</v>
      </c>
      <c r="R24" s="8">
        <v>3.4000000000000002E-2</v>
      </c>
      <c r="S24" s="9">
        <v>4.0919999999999996</v>
      </c>
      <c r="U24" s="7">
        <v>0.433</v>
      </c>
      <c r="V24" s="8">
        <v>0.63500000000000001</v>
      </c>
      <c r="W24" s="8">
        <v>0.84299999999999997</v>
      </c>
      <c r="X24" s="8">
        <v>0.754</v>
      </c>
      <c r="Y24" s="8">
        <v>3.3000000000000002E-2</v>
      </c>
      <c r="Z24" s="9">
        <v>4.468</v>
      </c>
    </row>
    <row r="25" spans="14:26" x14ac:dyDescent="0.3">
      <c r="N25" s="7">
        <v>0.44800000000000001</v>
      </c>
      <c r="O25" s="8">
        <v>0.65200000000000002</v>
      </c>
      <c r="P25" s="8">
        <v>0.84</v>
      </c>
      <c r="Q25" s="8">
        <v>0.753</v>
      </c>
      <c r="R25" s="8">
        <v>3.5000000000000003E-2</v>
      </c>
      <c r="S25" s="9">
        <v>4.5789999999999997</v>
      </c>
      <c r="U25" s="7">
        <v>0.434</v>
      </c>
      <c r="V25" s="8">
        <v>0.63200000000000001</v>
      </c>
      <c r="W25" s="8">
        <v>0.85199999999999998</v>
      </c>
      <c r="X25" s="8">
        <v>0.751</v>
      </c>
      <c r="Y25" s="8">
        <v>3.3000000000000002E-2</v>
      </c>
      <c r="Z25" s="9">
        <v>4.5129999999999999</v>
      </c>
    </row>
    <row r="26" spans="14:26" ht="15" thickBot="1" x14ac:dyDescent="0.35">
      <c r="N26" s="10">
        <v>0.45600000000000002</v>
      </c>
      <c r="O26" s="11">
        <v>0.64400000000000002</v>
      </c>
      <c r="P26" s="11">
        <v>0.83699999999999997</v>
      </c>
      <c r="Q26" s="11">
        <v>0.752</v>
      </c>
      <c r="R26" s="11">
        <v>3.5000000000000003E-2</v>
      </c>
      <c r="S26" s="12">
        <v>4.1909999999999998</v>
      </c>
      <c r="U26" s="10">
        <v>0.439</v>
      </c>
      <c r="V26" s="11">
        <v>0.63100000000000001</v>
      </c>
      <c r="W26" s="11">
        <v>0.875</v>
      </c>
      <c r="X26" s="11">
        <v>0.751</v>
      </c>
      <c r="Y26" s="11">
        <v>3.5999999999999997E-2</v>
      </c>
      <c r="Z26" s="12">
        <v>3.9990000000000001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169A37-8744-42F2-AD01-73DA76F16E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comparison</vt:lpstr>
      <vt:lpstr>results_matrix</vt:lpstr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Blahota Marcell</dc:creator>
  <cp:lastModifiedBy>Blahota Marcell</cp:lastModifiedBy>
  <dcterms:created xsi:type="dcterms:W3CDTF">2026-05-15T10:06:33Z</dcterms:created>
  <dcterms:modified xsi:type="dcterms:W3CDTF">2026-05-21T10:09:10Z</dcterms:modified>
</cp:coreProperties>
</file>