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arison" sheetId="1" state="visible" r:id="rId2"/>
    <sheet name="results_matrix" sheetId="2" state="visible" r:id="rId3"/>
    <sheet name="Munka1" sheetId="3" state="visible" r:id="rId4"/>
  </sheets>
  <definedNames>
    <definedName function="false" hidden="false" localSheetId="1" name="ExternalData_1" vbProcedure="false">results_matrix!$A$1:$G$10</definedName>
    <definedName function="false" hidden="false" localSheetId="1" name="ExternalData_2" vbProcedure="false">results_matrix!$A$15:$G$24</definedName>
    <definedName function="false" hidden="false" localSheetId="1" name="ExternalData_3" vbProcedure="false">results_matrix!$A$29:$G$38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<sst xmlns="http://schemas.openxmlformats.org/spreadsheetml/2006/main" count="229" uniqueCount="85">
  <si>
    <t xml:space="preserve">mintabemenetek</t>
  </si>
  <si>
    <t xml:space="preserve">first fit</t>
  </si>
  <si>
    <t xml:space="preserve">iterative</t>
  </si>
  <si>
    <t xml:space="preserve">egyenlő</t>
  </si>
  <si>
    <t xml:space="preserve">iteratív átlag bepakolt</t>
  </si>
  <si>
    <t xml:space="preserve">tárgyak sorrendje</t>
  </si>
  <si>
    <t xml:space="preserve">csökkenő térfogat</t>
  </si>
  <si>
    <t xml:space="preserve">m. nincs forgatás</t>
  </si>
  <si>
    <t xml:space="preserve">max tárgyak</t>
  </si>
  <si>
    <t xml:space="preserve">m. largest face up</t>
  </si>
  <si>
    <t xml:space="preserve">max térfogat (cm^3)</t>
  </si>
  <si>
    <t xml:space="preserve">m. min slack</t>
  </si>
  <si>
    <t xml:space="preserve">policy</t>
  </si>
  <si>
    <t xml:space="preserve">skip if doesn't fit</t>
  </si>
  <si>
    <t xml:space="preserve">m. first fit</t>
  </si>
  <si>
    <t xml:space="preserve">shelf</t>
  </si>
  <si>
    <t xml:space="preserve">véletlen</t>
  </si>
  <si>
    <t xml:space="preserve">first fit átl. pakolt</t>
  </si>
  <si>
    <t xml:space="preserve">iteratív átl. bepakolt</t>
  </si>
  <si>
    <t xml:space="preserve">véletlen 5-15 közt</t>
  </si>
  <si>
    <t xml:space="preserve">-</t>
  </si>
  <si>
    <t xml:space="preserve">stop if doesn't fit</t>
  </si>
  <si>
    <t xml:space="preserve">extreme points</t>
  </si>
  <si>
    <t xml:space="preserve"> </t>
  </si>
  <si>
    <t xml:space="preserve">unsorted</t>
  </si>
  <si>
    <t xml:space="preserve">sorted</t>
  </si>
  <si>
    <t xml:space="preserve">mérés</t>
  </si>
  <si>
    <t xml:space="preserve">avg bin needed</t>
  </si>
  <si>
    <t xml:space="preserve">greedy_no_rotation</t>
  </si>
  <si>
    <t xml:space="preserve">Véletlen 5-20 közt</t>
  </si>
  <si>
    <t xml:space="preserve">greedy_larges_face_up</t>
  </si>
  <si>
    <t xml:space="preserve">shipEverything</t>
  </si>
  <si>
    <t xml:space="preserve">greedy_min_sum_slack</t>
  </si>
  <si>
    <t xml:space="preserve">algoritmus</t>
  </si>
  <si>
    <t xml:space="preserve">iteratív</t>
  </si>
  <si>
    <t xml:space="preserve">greedy_first_fit</t>
  </si>
  <si>
    <t xml:space="preserve">extreme_points</t>
  </si>
  <si>
    <t xml:space="preserve">1.2699</t>
  </si>
  <si>
    <t xml:space="preserve">1.2711</t>
  </si>
  <si>
    <t xml:space="preserve">1.3617</t>
  </si>
  <si>
    <t xml:space="preserve">1.3578</t>
  </si>
  <si>
    <t xml:space="preserve">Véletlen 5-25 közt</t>
  </si>
  <si>
    <t xml:space="preserve">1.2836</t>
  </si>
  <si>
    <t xml:space="preserve">1.2839</t>
  </si>
  <si>
    <t xml:space="preserve">1.2823</t>
  </si>
  <si>
    <t xml:space="preserve">1.2802</t>
  </si>
  <si>
    <t xml:space="preserve">1.4541</t>
  </si>
  <si>
    <t xml:space="preserve">1.5154</t>
  </si>
  <si>
    <t xml:space="preserve">1.2642</t>
  </si>
  <si>
    <t xml:space="preserve">1.2669</t>
  </si>
  <si>
    <t xml:space="preserve">strategy</t>
  </si>
  <si>
    <t xml:space="preserve">largest_edge_desc</t>
  </si>
  <si>
    <t xml:space="preserve">samples</t>
  </si>
  <si>
    <t xml:space="preserve">largest_face_desc</t>
  </si>
  <si>
    <t xml:space="preserve">items</t>
  </si>
  <si>
    <t xml:space="preserve">5-25</t>
  </si>
  <si>
    <t xml:space="preserve">(rand határok)</t>
  </si>
  <si>
    <t xml:space="preserve">random</t>
  </si>
  <si>
    <t xml:space="preserve">sim_anneal_100_desc</t>
  </si>
  <si>
    <t xml:space="preserve">sim_anneal_100_rand</t>
  </si>
  <si>
    <t xml:space="preserve">sim_anneal_10_desc</t>
  </si>
  <si>
    <t xml:space="preserve">sim_anneal_10_rand</t>
  </si>
  <si>
    <t xml:space="preserve">volume_asc</t>
  </si>
  <si>
    <t xml:space="preserve">volume_desc</t>
  </si>
  <si>
    <t xml:space="preserve">10-30</t>
  </si>
  <si>
    <t xml:space="preserve">15-35</t>
  </si>
  <si>
    <t xml:space="preserve">Idő tesztek</t>
  </si>
  <si>
    <t xml:space="preserve">ff segéd</t>
  </si>
  <si>
    <t xml:space="preserve">1500 elem</t>
  </si>
  <si>
    <t xml:space="preserve">Ship everythig</t>
  </si>
  <si>
    <t xml:space="preserve">raklap</t>
  </si>
  <si>
    <t xml:space="preserve">doboz</t>
  </si>
  <si>
    <t xml:space="preserve">algo 0</t>
  </si>
  <si>
    <t xml:space="preserve">algo 1</t>
  </si>
  <si>
    <t xml:space="preserve">algo 2</t>
  </si>
  <si>
    <t xml:space="preserve">algo 3</t>
  </si>
  <si>
    <t xml:space="preserve">algo 4</t>
  </si>
  <si>
    <t xml:space="preserve">algo 5</t>
  </si>
  <si>
    <t xml:space="preserve">m, nincs forgatás</t>
  </si>
  <si>
    <t xml:space="preserve">m, largest face up</t>
  </si>
  <si>
    <t xml:space="preserve">m, min slack</t>
  </si>
  <si>
    <t xml:space="preserve">m, first fit</t>
  </si>
  <si>
    <t xml:space="preserve">raklapra</t>
  </si>
  <si>
    <t xml:space="preserve">posta dobozokba</t>
  </si>
  <si>
    <t xml:space="preserve">iter segéd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</si>
</sst>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Consolas"/>
      <family val="3"/>
      <charset val="238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C3C7D1"/>
          <bgColor rgb="FF181B28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sults_matrix" displayName="results_matrix" ref="A1:G10" headerRowCount="1" totalsRowCount="0" totalsRowShown="0">
  <autoFilter ref="A1:G10"/>
  <tableColumns count="7">
    <tableColumn id="1" name="strategy"/>
    <tableColumn id="2" name="extreme_points"/>
    <tableColumn id="3" name="greedy_first_fit"/>
    <tableColumn id="4" name="greedy_larges_face_up"/>
    <tableColumn id="5" name="greedy_min_sum_slack"/>
    <tableColumn id="6" name="greedy_no_rotation"/>
    <tableColumn id="7" name="shelf"/>
  </tableColumns>
</table>
</file>

<file path=xl/tables/table2.xml><?xml version="1.0" encoding="utf-8"?>
<table xmlns="http://schemas.openxmlformats.org/spreadsheetml/2006/main" id="2" name="results_matrix__2" displayName="results_matrix__2" ref="A15:G24" headerRowCount="1" totalsRowCount="0" totalsRowShown="0">
  <autoFilter ref="A15:G24"/>
  <tableColumns count="7">
    <tableColumn id="1" name="strategy"/>
    <tableColumn id="2" name="extreme_points"/>
    <tableColumn id="3" name="greedy_first_fit"/>
    <tableColumn id="4" name="greedy_larges_face_up"/>
    <tableColumn id="5" name="greedy_min_sum_slack"/>
    <tableColumn id="6" name="greedy_no_rotation"/>
    <tableColumn id="7" name="shelf"/>
  </tableColumns>
</table>
</file>

<file path=xl/tables/table3.xml><?xml version="1.0" encoding="utf-8"?>
<table xmlns="http://schemas.openxmlformats.org/spreadsheetml/2006/main" id="3" name="results_matrix__35" displayName="results_matrix__35" ref="A29:G38" headerRowCount="1" totalsRowCount="0" totalsRowShown="0">
  <autoFilter ref="A29:G38"/>
  <tableColumns count="7">
    <tableColumn id="1" name="strategy"/>
    <tableColumn id="2" name="extreme_points"/>
    <tableColumn id="3" name="greedy_first_fit"/>
    <tableColumn id="4" name="greedy_larges_face_up"/>
    <tableColumn id="5" name="greedy_min_sum_slack"/>
    <tableColumn id="6" name="greedy_no_rotation"/>
    <tableColumn id="7" name="shelf"/>
  </tableColumns>
</tabl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53"/>
  <sheetViews>
    <sheetView showFormulas="false" showGridLines="true" showRowColHeaders="true" showZeros="true" rightToLeft="false" tabSelected="true" showOutlineSymbols="true" defaultGridColor="true" view="normal" topLeftCell="A22" colorId="64" zoomScale="115" zoomScaleNormal="115" zoomScalePageLayoutView="100" workbookViewId="0">
      <selection pane="topLeft" activeCell="E58" activeCellId="0" sqref="E58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3.11"/>
    <col collapsed="false" customWidth="true" hidden="false" outlineLevel="0" max="2" min="2" style="0" width="19.94"/>
    <col collapsed="false" customWidth="true" hidden="false" outlineLevel="0" max="6" min="6" style="0" width="18.33"/>
    <col collapsed="false" customWidth="true" hidden="false" outlineLevel="0" max="7" min="7" style="0" width="17.67"/>
    <col collapsed="false" customWidth="true" hidden="false" outlineLevel="0" max="8" min="8" style="0" width="5.34"/>
    <col collapsed="false" customWidth="true" hidden="false" outlineLevel="0" max="10" min="9" style="0" width="17.33"/>
  </cols>
  <sheetData>
    <row r="1" customFormat="false" ht="14.25" hidden="false" customHeight="false" outlineLevel="0" collapsed="false">
      <c r="B1" s="0" t="s">
        <v>0</v>
      </c>
    </row>
    <row r="2" customFormat="false" ht="14.25" hidden="false" customHeight="false" outlineLevel="0" collapsed="false">
      <c r="B2" s="0" t="n">
        <v>10000</v>
      </c>
    </row>
    <row r="4" customFormat="false" ht="14.25" hidden="false" customHeight="false" outlineLevel="0" collapsed="false">
      <c r="C4" s="0" t="s">
        <v>1</v>
      </c>
      <c r="D4" s="0" t="s">
        <v>2</v>
      </c>
      <c r="E4" s="0" t="s">
        <v>3</v>
      </c>
      <c r="F4" s="0" t="s">
        <v>4</v>
      </c>
      <c r="I4" s="0" t="s">
        <v>5</v>
      </c>
      <c r="J4" s="1" t="s">
        <v>6</v>
      </c>
    </row>
    <row r="5" customFormat="false" ht="14.25" hidden="false" customHeight="false" outlineLevel="0" collapsed="false">
      <c r="A5" s="0" t="n">
        <v>0</v>
      </c>
      <c r="B5" s="0" t="s">
        <v>7</v>
      </c>
      <c r="C5" s="0" t="n">
        <v>164</v>
      </c>
      <c r="D5" s="0" t="n">
        <v>129</v>
      </c>
      <c r="E5" s="0" t="n">
        <f aca="false">$B$2-C5-D5</f>
        <v>9707</v>
      </c>
      <c r="F5" s="0" t="n">
        <v>10.4043</v>
      </c>
      <c r="I5" s="0" t="s">
        <v>8</v>
      </c>
      <c r="J5" s="0" t="n">
        <v>15</v>
      </c>
    </row>
    <row r="6" customFormat="false" ht="14.25" hidden="false" customHeight="false" outlineLevel="0" collapsed="false">
      <c r="A6" s="0" t="n">
        <v>1</v>
      </c>
      <c r="B6" s="0" t="s">
        <v>9</v>
      </c>
      <c r="C6" s="0" t="n">
        <v>59</v>
      </c>
      <c r="D6" s="0" t="n">
        <v>46</v>
      </c>
      <c r="E6" s="0" t="n">
        <f aca="false">$B$2-C6-D6</f>
        <v>9895</v>
      </c>
      <c r="F6" s="0" t="n">
        <v>10.8821</v>
      </c>
      <c r="I6" s="0" t="s">
        <v>10</v>
      </c>
      <c r="J6" s="0" t="n">
        <v>43500</v>
      </c>
    </row>
    <row r="7" customFormat="false" ht="14.25" hidden="false" customHeight="false" outlineLevel="0" collapsed="false">
      <c r="A7" s="0" t="n">
        <v>2</v>
      </c>
      <c r="B7" s="0" t="s">
        <v>11</v>
      </c>
      <c r="C7" s="0" t="n">
        <v>318</v>
      </c>
      <c r="D7" s="0" t="n">
        <v>194</v>
      </c>
      <c r="E7" s="0" t="n">
        <f aca="false">$B$2-C7-D7</f>
        <v>9488</v>
      </c>
      <c r="F7" s="0" t="n">
        <v>10.8953</v>
      </c>
      <c r="I7" s="0" t="s">
        <v>12</v>
      </c>
      <c r="J7" s="1" t="s">
        <v>13</v>
      </c>
    </row>
    <row r="8" customFormat="false" ht="14.25" hidden="false" customHeight="false" outlineLevel="0" collapsed="false">
      <c r="A8" s="0" t="n">
        <v>3</v>
      </c>
      <c r="B8" s="0" t="s">
        <v>14</v>
      </c>
      <c r="C8" s="0" t="n">
        <v>285</v>
      </c>
      <c r="D8" s="0" t="n">
        <v>271</v>
      </c>
      <c r="E8" s="0" t="n">
        <f aca="false">$B$2-C8-D8</f>
        <v>9444</v>
      </c>
      <c r="F8" s="0" t="n">
        <v>10.8961</v>
      </c>
    </row>
    <row r="9" customFormat="false" ht="14.25" hidden="false" customHeight="false" outlineLevel="0" collapsed="false">
      <c r="A9" s="0" t="n">
        <v>4</v>
      </c>
      <c r="B9" s="0" t="s">
        <v>15</v>
      </c>
      <c r="C9" s="0" t="n">
        <v>678</v>
      </c>
      <c r="D9" s="0" t="n">
        <v>87</v>
      </c>
      <c r="E9" s="0" t="n">
        <f aca="false">$B$2-C9-D9</f>
        <v>9235</v>
      </c>
      <c r="F9" s="0" t="n">
        <v>10.7848</v>
      </c>
    </row>
    <row r="12" customFormat="false" ht="14.25" hidden="false" customHeight="false" outlineLevel="0" collapsed="false">
      <c r="C12" s="0" t="s">
        <v>1</v>
      </c>
      <c r="D12" s="0" t="s">
        <v>2</v>
      </c>
      <c r="E12" s="0" t="s">
        <v>3</v>
      </c>
      <c r="F12" s="0" t="s">
        <v>4</v>
      </c>
      <c r="I12" s="0" t="s">
        <v>5</v>
      </c>
      <c r="J12" s="1" t="s">
        <v>16</v>
      </c>
    </row>
    <row r="13" customFormat="false" ht="14.25" hidden="false" customHeight="false" outlineLevel="0" collapsed="false">
      <c r="A13" s="0" t="n">
        <v>0</v>
      </c>
      <c r="B13" s="0" t="s">
        <v>7</v>
      </c>
      <c r="C13" s="0" t="n">
        <v>1224</v>
      </c>
      <c r="D13" s="0" t="n">
        <v>770</v>
      </c>
      <c r="E13" s="0" t="n">
        <f aca="false">$B$2-C13-D13</f>
        <v>8006</v>
      </c>
      <c r="F13" s="0" t="n">
        <v>10.1794</v>
      </c>
      <c r="I13" s="0" t="s">
        <v>8</v>
      </c>
      <c r="J13" s="0" t="n">
        <v>15</v>
      </c>
    </row>
    <row r="14" customFormat="false" ht="14.25" hidden="false" customHeight="false" outlineLevel="0" collapsed="false">
      <c r="A14" s="0" t="n">
        <v>1</v>
      </c>
      <c r="B14" s="0" t="s">
        <v>9</v>
      </c>
      <c r="C14" s="0" t="n">
        <v>1088</v>
      </c>
      <c r="D14" s="0" t="n">
        <v>871</v>
      </c>
      <c r="E14" s="0" t="n">
        <f aca="false">$B$2-C14-D14</f>
        <v>8041</v>
      </c>
      <c r="F14" s="0" t="n">
        <v>10.5971</v>
      </c>
      <c r="I14" s="0" t="s">
        <v>10</v>
      </c>
      <c r="J14" s="0" t="n">
        <v>43500</v>
      </c>
    </row>
    <row r="15" customFormat="false" ht="14.25" hidden="false" customHeight="false" outlineLevel="0" collapsed="false">
      <c r="A15" s="0" t="n">
        <v>2</v>
      </c>
      <c r="B15" s="0" t="s">
        <v>11</v>
      </c>
      <c r="C15" s="0" t="n">
        <v>1002</v>
      </c>
      <c r="D15" s="0" t="n">
        <v>945</v>
      </c>
      <c r="E15" s="0" t="n">
        <f aca="false">$B$2-C15-D15</f>
        <v>8053</v>
      </c>
      <c r="F15" s="0" t="n">
        <v>10.7457</v>
      </c>
      <c r="I15" s="0" t="s">
        <v>12</v>
      </c>
      <c r="J15" s="1" t="s">
        <v>13</v>
      </c>
    </row>
    <row r="16" customFormat="false" ht="14.25" hidden="false" customHeight="false" outlineLevel="0" collapsed="false">
      <c r="A16" s="0" t="n">
        <v>3</v>
      </c>
      <c r="B16" s="0" t="s">
        <v>14</v>
      </c>
      <c r="C16" s="0" t="n">
        <v>982</v>
      </c>
      <c r="D16" s="0" t="n">
        <v>1128</v>
      </c>
      <c r="E16" s="0" t="n">
        <f aca="false">$B$2-C16-D16</f>
        <v>7890</v>
      </c>
      <c r="F16" s="0" t="n">
        <v>10.7502</v>
      </c>
    </row>
    <row r="17" customFormat="false" ht="14.25" hidden="false" customHeight="false" outlineLevel="0" collapsed="false">
      <c r="A17" s="0" t="n">
        <v>4</v>
      </c>
      <c r="B17" s="0" t="s">
        <v>15</v>
      </c>
      <c r="C17" s="0" t="n">
        <v>2419</v>
      </c>
      <c r="D17" s="0" t="n">
        <v>432</v>
      </c>
      <c r="E17" s="0" t="n">
        <f aca="false">$B$2-C17-D17</f>
        <v>7149</v>
      </c>
      <c r="F17" s="0" t="n">
        <v>10.4895</v>
      </c>
    </row>
    <row r="20" customFormat="false" ht="14.25" hidden="false" customHeight="false" outlineLevel="0" collapsed="false">
      <c r="C20" s="0" t="s">
        <v>1</v>
      </c>
      <c r="D20" s="0" t="s">
        <v>2</v>
      </c>
      <c r="E20" s="0" t="s">
        <v>3</v>
      </c>
      <c r="F20" s="0" t="s">
        <v>17</v>
      </c>
      <c r="G20" s="0" t="s">
        <v>18</v>
      </c>
      <c r="I20" s="0" t="s">
        <v>5</v>
      </c>
      <c r="J20" s="1" t="s">
        <v>6</v>
      </c>
    </row>
    <row r="21" customFormat="false" ht="14.25" hidden="false" customHeight="false" outlineLevel="0" collapsed="false">
      <c r="A21" s="0" t="n">
        <v>0</v>
      </c>
      <c r="B21" s="0" t="s">
        <v>7</v>
      </c>
      <c r="C21" s="0" t="n">
        <v>47</v>
      </c>
      <c r="D21" s="0" t="n">
        <v>30</v>
      </c>
      <c r="E21" s="0" t="n">
        <f aca="false">$B$2-C21-D21</f>
        <v>9923</v>
      </c>
      <c r="F21" s="0" t="n">
        <v>4.0811</v>
      </c>
      <c r="G21" s="0" t="n">
        <v>4.0535</v>
      </c>
      <c r="I21" s="0" t="s">
        <v>8</v>
      </c>
      <c r="J21" s="1" t="s">
        <v>19</v>
      </c>
    </row>
    <row r="22" customFormat="false" ht="14.25" hidden="false" customHeight="false" outlineLevel="0" collapsed="false">
      <c r="A22" s="0" t="n">
        <v>1</v>
      </c>
      <c r="B22" s="0" t="s">
        <v>9</v>
      </c>
      <c r="C22" s="0" t="n">
        <v>45</v>
      </c>
      <c r="D22" s="0" t="n">
        <v>83</v>
      </c>
      <c r="E22" s="0" t="n">
        <f aca="false">$B$2-C22-D22</f>
        <v>9872</v>
      </c>
      <c r="F22" s="0" t="n">
        <v>7.1667</v>
      </c>
      <c r="G22" s="0" t="n">
        <v>7.197</v>
      </c>
      <c r="I22" s="0" t="s">
        <v>10</v>
      </c>
      <c r="J22" s="1" t="s">
        <v>20</v>
      </c>
    </row>
    <row r="23" customFormat="false" ht="14.25" hidden="false" customHeight="false" outlineLevel="0" collapsed="false">
      <c r="A23" s="0" t="n">
        <v>2</v>
      </c>
      <c r="B23" s="0" t="s">
        <v>11</v>
      </c>
      <c r="C23" s="0" t="n">
        <v>242</v>
      </c>
      <c r="D23" s="0" t="n">
        <v>237</v>
      </c>
      <c r="E23" s="0" t="n">
        <f aca="false">$B$2-C23-D23</f>
        <v>9521</v>
      </c>
      <c r="F23" s="0" t="n">
        <v>7.9023</v>
      </c>
      <c r="G23" s="0" t="n">
        <v>7.8598</v>
      </c>
      <c r="I23" s="0" t="s">
        <v>12</v>
      </c>
      <c r="J23" s="1" t="s">
        <v>21</v>
      </c>
    </row>
    <row r="24" customFormat="false" ht="14.25" hidden="false" customHeight="false" outlineLevel="0" collapsed="false">
      <c r="A24" s="0" t="n">
        <v>3</v>
      </c>
      <c r="B24" s="0" t="s">
        <v>14</v>
      </c>
      <c r="C24" s="0" t="n">
        <v>228</v>
      </c>
      <c r="D24" s="0" t="n">
        <v>258</v>
      </c>
      <c r="E24" s="0" t="n">
        <f aca="false">$B$2-C24-D24</f>
        <v>9514</v>
      </c>
      <c r="F24" s="0" t="n">
        <v>7.8432</v>
      </c>
      <c r="G24" s="0" t="n">
        <v>7.8298</v>
      </c>
    </row>
    <row r="25" customFormat="false" ht="14.25" hidden="false" customHeight="false" outlineLevel="0" collapsed="false">
      <c r="A25" s="0" t="n">
        <v>4</v>
      </c>
      <c r="B25" s="0" t="s">
        <v>15</v>
      </c>
      <c r="C25" s="0" t="n">
        <v>599</v>
      </c>
      <c r="D25" s="0" t="n">
        <v>102</v>
      </c>
      <c r="E25" s="0" t="n">
        <f aca="false">$B$2-C25-D25</f>
        <v>9299</v>
      </c>
      <c r="F25" s="0" t="n">
        <v>6.7512</v>
      </c>
      <c r="G25" s="0" t="n">
        <v>6.3828</v>
      </c>
    </row>
    <row r="26" customFormat="false" ht="14.25" hidden="false" customHeight="false" outlineLevel="0" collapsed="false">
      <c r="A26" s="0" t="n">
        <v>5</v>
      </c>
      <c r="B26" s="0" t="s">
        <v>22</v>
      </c>
      <c r="C26" s="0" t="n">
        <v>212</v>
      </c>
      <c r="D26" s="0" t="n">
        <v>166</v>
      </c>
      <c r="E26" s="0" t="n">
        <f aca="false">$B$2-C26-D26</f>
        <v>9622</v>
      </c>
      <c r="F26" s="0" t="n">
        <v>7.9942</v>
      </c>
      <c r="G26" s="0" t="n">
        <v>7.9629</v>
      </c>
    </row>
    <row r="28" customFormat="false" ht="14.25" hidden="false" customHeight="false" outlineLevel="0" collapsed="false">
      <c r="H28" s="0" t="s">
        <v>23</v>
      </c>
    </row>
    <row r="29" customFormat="false" ht="14.25" hidden="false" customHeight="false" outlineLevel="0" collapsed="false">
      <c r="C29" s="0" t="s">
        <v>1</v>
      </c>
      <c r="D29" s="0" t="s">
        <v>2</v>
      </c>
      <c r="E29" s="0" t="s">
        <v>3</v>
      </c>
      <c r="F29" s="0" t="s">
        <v>17</v>
      </c>
      <c r="G29" s="0" t="s">
        <v>18</v>
      </c>
      <c r="I29" s="0" t="s">
        <v>5</v>
      </c>
      <c r="J29" s="1" t="s">
        <v>16</v>
      </c>
    </row>
    <row r="30" customFormat="false" ht="14.25" hidden="false" customHeight="false" outlineLevel="0" collapsed="false">
      <c r="A30" s="0" t="n">
        <v>0</v>
      </c>
      <c r="B30" s="0" t="s">
        <v>7</v>
      </c>
      <c r="C30" s="0" t="n">
        <v>375</v>
      </c>
      <c r="D30" s="0" t="n">
        <v>260</v>
      </c>
      <c r="E30" s="0" t="n">
        <f aca="false">$B$2-C30-D30</f>
        <v>9365</v>
      </c>
      <c r="F30" s="0" t="n">
        <v>6.6017</v>
      </c>
      <c r="G30" s="0" t="n">
        <v>6.5393</v>
      </c>
      <c r="I30" s="0" t="s">
        <v>8</v>
      </c>
      <c r="J30" s="1" t="s">
        <v>19</v>
      </c>
    </row>
    <row r="31" customFormat="false" ht="14.25" hidden="false" customHeight="false" outlineLevel="0" collapsed="false">
      <c r="A31" s="0" t="n">
        <v>1</v>
      </c>
      <c r="B31" s="0" t="s">
        <v>9</v>
      </c>
      <c r="C31" s="0" t="n">
        <v>779</v>
      </c>
      <c r="D31" s="0" t="n">
        <v>739</v>
      </c>
      <c r="E31" s="0" t="n">
        <f aca="false">$B$2-C31-D31</f>
        <v>8482</v>
      </c>
      <c r="F31" s="0" t="n">
        <v>8.5055</v>
      </c>
      <c r="G31" s="0" t="n">
        <v>8.4667</v>
      </c>
      <c r="I31" s="0" t="s">
        <v>10</v>
      </c>
      <c r="J31" s="1" t="s">
        <v>20</v>
      </c>
    </row>
    <row r="32" customFormat="false" ht="14.25" hidden="false" customHeight="false" outlineLevel="0" collapsed="false">
      <c r="A32" s="0" t="n">
        <v>2</v>
      </c>
      <c r="B32" s="0" t="s">
        <v>11</v>
      </c>
      <c r="C32" s="0" t="n">
        <v>791</v>
      </c>
      <c r="D32" s="0" t="n">
        <v>992</v>
      </c>
      <c r="E32" s="0" t="n">
        <f aca="false">$B$2-C32-D32</f>
        <v>8217</v>
      </c>
      <c r="F32" s="0" t="n">
        <v>8.9201</v>
      </c>
      <c r="G32" s="0" t="n">
        <v>8.9416</v>
      </c>
      <c r="I32" s="0" t="s">
        <v>12</v>
      </c>
      <c r="J32" s="1" t="s">
        <v>21</v>
      </c>
    </row>
    <row r="33" customFormat="false" ht="14.25" hidden="false" customHeight="false" outlineLevel="0" collapsed="false">
      <c r="A33" s="0" t="n">
        <v>3</v>
      </c>
      <c r="B33" s="0" t="s">
        <v>14</v>
      </c>
      <c r="C33" s="0" t="n">
        <v>768</v>
      </c>
      <c r="D33" s="0" t="n">
        <v>1232</v>
      </c>
      <c r="E33" s="0" t="n">
        <f aca="false">$B$2-C33-D33</f>
        <v>8000</v>
      </c>
      <c r="F33" s="0" t="n">
        <v>8.8568</v>
      </c>
      <c r="G33" s="0" t="n">
        <v>8.9637</v>
      </c>
    </row>
    <row r="34" customFormat="false" ht="14.25" hidden="false" customHeight="false" outlineLevel="0" collapsed="false">
      <c r="A34" s="0" t="n">
        <v>4</v>
      </c>
      <c r="B34" s="0" t="s">
        <v>15</v>
      </c>
      <c r="C34" s="0" t="n">
        <v>2132</v>
      </c>
      <c r="D34" s="0" t="n">
        <v>315</v>
      </c>
      <c r="E34" s="0" t="n">
        <f aca="false">$B$2-C34-D34</f>
        <v>7553</v>
      </c>
      <c r="F34" s="0" t="n">
        <v>8.9924</v>
      </c>
      <c r="G34" s="0" t="n">
        <v>8.2652</v>
      </c>
    </row>
    <row r="35" customFormat="false" ht="14.25" hidden="false" customHeight="false" outlineLevel="0" collapsed="false">
      <c r="A35" s="0" t="n">
        <v>5</v>
      </c>
      <c r="B35" s="0" t="s">
        <v>22</v>
      </c>
      <c r="C35" s="0" t="n">
        <v>756</v>
      </c>
      <c r="D35" s="0" t="n">
        <v>981</v>
      </c>
      <c r="E35" s="0" t="n">
        <f aca="false">$B$2-C35-D35</f>
        <v>8263</v>
      </c>
      <c r="F35" s="0" t="n">
        <v>9.0994</v>
      </c>
      <c r="G35" s="0" t="n">
        <v>9.1473</v>
      </c>
    </row>
    <row r="38" customFormat="false" ht="14.25" hidden="false" customHeight="false" outlineLevel="0" collapsed="false">
      <c r="C38" s="0" t="s">
        <v>24</v>
      </c>
      <c r="D38" s="0" t="s">
        <v>25</v>
      </c>
      <c r="I38" s="0" t="s">
        <v>26</v>
      </c>
      <c r="J38" s="1" t="s">
        <v>27</v>
      </c>
    </row>
    <row r="39" customFormat="false" ht="14.25" hidden="false" customHeight="false" outlineLevel="0" collapsed="false">
      <c r="B39" s="2" t="s">
        <v>28</v>
      </c>
      <c r="C39" s="2" t="n">
        <v>1.7644</v>
      </c>
      <c r="D39" s="2" t="n">
        <v>1.2386</v>
      </c>
      <c r="I39" s="0" t="s">
        <v>8</v>
      </c>
      <c r="J39" s="1" t="s">
        <v>29</v>
      </c>
    </row>
    <row r="40" customFormat="false" ht="27.9" hidden="false" customHeight="false" outlineLevel="0" collapsed="false">
      <c r="B40" s="2" t="s">
        <v>30</v>
      </c>
      <c r="C40" s="2" t="n">
        <v>1.7505</v>
      </c>
      <c r="D40" s="2" t="n">
        <v>1.2653</v>
      </c>
      <c r="I40" s="0" t="s">
        <v>12</v>
      </c>
      <c r="J40" s="3" t="s">
        <v>31</v>
      </c>
    </row>
    <row r="41" customFormat="false" ht="14.25" hidden="false" customHeight="false" outlineLevel="0" collapsed="false">
      <c r="B41" s="2" t="s">
        <v>32</v>
      </c>
      <c r="C41" s="2" t="n">
        <v>1.6397</v>
      </c>
      <c r="D41" s="2" t="n">
        <v>1.203</v>
      </c>
      <c r="I41" s="0" t="s">
        <v>33</v>
      </c>
      <c r="J41" s="1" t="s">
        <v>34</v>
      </c>
    </row>
    <row r="42" customFormat="false" ht="14.25" hidden="false" customHeight="false" outlineLevel="0" collapsed="false">
      <c r="B42" s="2" t="s">
        <v>35</v>
      </c>
      <c r="C42" s="2" t="n">
        <v>1.6295</v>
      </c>
      <c r="D42" s="2" t="n">
        <v>1.1992</v>
      </c>
    </row>
    <row r="43" customFormat="false" ht="14.25" hidden="false" customHeight="false" outlineLevel="0" collapsed="false">
      <c r="B43" s="2" t="s">
        <v>15</v>
      </c>
      <c r="C43" s="2" t="n">
        <v>1.819</v>
      </c>
      <c r="D43" s="2" t="n">
        <v>1.3818</v>
      </c>
    </row>
    <row r="44" customFormat="false" ht="14.25" hidden="false" customHeight="false" outlineLevel="0" collapsed="false">
      <c r="B44" s="2" t="s">
        <v>36</v>
      </c>
      <c r="C44" s="2" t="n">
        <v>1.5943</v>
      </c>
      <c r="D44" s="2" t="n">
        <v>1.1864</v>
      </c>
    </row>
    <row r="47" customFormat="false" ht="14.25" hidden="false" customHeight="false" outlineLevel="0" collapsed="false">
      <c r="C47" s="0" t="s">
        <v>1</v>
      </c>
      <c r="D47" s="0" t="s">
        <v>2</v>
      </c>
    </row>
    <row r="48" customFormat="false" ht="14.25" hidden="false" customHeight="false" outlineLevel="0" collapsed="false">
      <c r="B48" s="2" t="s">
        <v>28</v>
      </c>
      <c r="C48" s="2" t="s">
        <v>37</v>
      </c>
      <c r="D48" s="2" t="s">
        <v>38</v>
      </c>
      <c r="I48" s="0" t="s">
        <v>26</v>
      </c>
      <c r="J48" s="1" t="s">
        <v>27</v>
      </c>
    </row>
    <row r="49" customFormat="false" ht="14.25" hidden="false" customHeight="false" outlineLevel="0" collapsed="false">
      <c r="B49" s="2" t="s">
        <v>30</v>
      </c>
      <c r="C49" s="2" t="s">
        <v>39</v>
      </c>
      <c r="D49" s="2" t="s">
        <v>40</v>
      </c>
      <c r="I49" s="0" t="s">
        <v>8</v>
      </c>
      <c r="J49" s="1" t="s">
        <v>41</v>
      </c>
    </row>
    <row r="50" customFormat="false" ht="28.35" hidden="false" customHeight="false" outlineLevel="0" collapsed="false">
      <c r="B50" s="2" t="s">
        <v>32</v>
      </c>
      <c r="C50" s="2" t="s">
        <v>42</v>
      </c>
      <c r="D50" s="2" t="s">
        <v>43</v>
      </c>
      <c r="I50" s="0" t="s">
        <v>12</v>
      </c>
      <c r="J50" s="3" t="s">
        <v>31</v>
      </c>
    </row>
    <row r="51" customFormat="false" ht="14.25" hidden="false" customHeight="false" outlineLevel="0" collapsed="false">
      <c r="B51" s="2" t="s">
        <v>35</v>
      </c>
      <c r="C51" s="2" t="s">
        <v>44</v>
      </c>
      <c r="D51" s="2" t="s">
        <v>45</v>
      </c>
      <c r="J51" s="1"/>
    </row>
    <row r="52" customFormat="false" ht="14.25" hidden="false" customHeight="false" outlineLevel="0" collapsed="false">
      <c r="B52" s="2" t="s">
        <v>15</v>
      </c>
      <c r="C52" s="2" t="s">
        <v>46</v>
      </c>
      <c r="D52" s="2" t="s">
        <v>47</v>
      </c>
    </row>
    <row r="53" customFormat="false" ht="14.25" hidden="false" customHeight="false" outlineLevel="0" collapsed="false">
      <c r="B53" s="2" t="s">
        <v>36</v>
      </c>
      <c r="C53" s="2" t="s">
        <v>48</v>
      </c>
      <c r="D53" s="2" t="s">
        <v>49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8.5390625" defaultRowHeight="14.25" zeroHeight="false" outlineLevelRow="0" outlineLevelCol="0"/>
  <cols>
    <col collapsed="false" customWidth="true" hidden="false" outlineLevel="0" max="1" min="1" style="0" width="18.67"/>
    <col collapsed="false" customWidth="true" hidden="false" outlineLevel="0" max="2" min="2" style="0" width="16.33"/>
    <col collapsed="false" customWidth="true" hidden="false" outlineLevel="0" max="3" min="3" style="0" width="15.55"/>
    <col collapsed="false" customWidth="true" hidden="false" outlineLevel="0" max="4" min="4" style="0" width="22"/>
    <col collapsed="false" customWidth="true" hidden="false" outlineLevel="0" max="5" min="5" style="0" width="22.55"/>
    <col collapsed="false" customWidth="true" hidden="false" outlineLevel="0" max="6" min="6" style="0" width="19"/>
    <col collapsed="false" customWidth="true" hidden="false" outlineLevel="0" max="7" min="7" style="0" width="7.34"/>
  </cols>
  <sheetData>
    <row r="1" customFormat="false" ht="14.25" hidden="false" customHeight="false" outlineLevel="0" collapsed="false">
      <c r="A1" s="4" t="s">
        <v>50</v>
      </c>
      <c r="B1" s="4" t="s">
        <v>36</v>
      </c>
      <c r="C1" s="4" t="s">
        <v>35</v>
      </c>
      <c r="D1" s="4" t="s">
        <v>30</v>
      </c>
      <c r="E1" s="4" t="s">
        <v>32</v>
      </c>
      <c r="F1" s="4" t="s">
        <v>28</v>
      </c>
      <c r="G1" s="4" t="s">
        <v>15</v>
      </c>
    </row>
    <row r="2" customFormat="false" ht="14.25" hidden="false" customHeight="false" outlineLevel="0" collapsed="false">
      <c r="A2" s="0" t="s">
        <v>51</v>
      </c>
      <c r="B2" s="0" t="n">
        <v>11</v>
      </c>
      <c r="C2" s="0" t="n">
        <v>12</v>
      </c>
      <c r="D2" s="0" t="n">
        <v>12</v>
      </c>
      <c r="E2" s="0" t="n">
        <v>12</v>
      </c>
      <c r="F2" s="0" t="n">
        <v>26</v>
      </c>
      <c r="G2" s="0" t="n">
        <v>12</v>
      </c>
      <c r="I2" s="0" t="s">
        <v>52</v>
      </c>
      <c r="J2" s="0" t="n">
        <v>50</v>
      </c>
    </row>
    <row r="3" customFormat="false" ht="14.25" hidden="false" customHeight="false" outlineLevel="0" collapsed="false">
      <c r="A3" s="0" t="s">
        <v>53</v>
      </c>
      <c r="B3" s="0" t="n">
        <v>9</v>
      </c>
      <c r="C3" s="0" t="n">
        <v>12</v>
      </c>
      <c r="D3" s="0" t="n">
        <v>10</v>
      </c>
      <c r="E3" s="0" t="n">
        <v>10</v>
      </c>
      <c r="F3" s="0" t="n">
        <v>23</v>
      </c>
      <c r="G3" s="0" t="n">
        <v>10</v>
      </c>
      <c r="I3" s="0" t="s">
        <v>54</v>
      </c>
      <c r="J3" s="5" t="s">
        <v>55</v>
      </c>
      <c r="K3" s="0" t="s">
        <v>56</v>
      </c>
    </row>
    <row r="4" customFormat="false" ht="14.25" hidden="false" customHeight="false" outlineLevel="0" collapsed="false">
      <c r="A4" s="0" t="s">
        <v>57</v>
      </c>
      <c r="B4" s="0" t="n">
        <v>1</v>
      </c>
      <c r="C4" s="0" t="n">
        <v>2</v>
      </c>
      <c r="D4" s="0" t="n">
        <v>1</v>
      </c>
      <c r="E4" s="0" t="n">
        <v>1</v>
      </c>
      <c r="F4" s="0" t="n">
        <v>5</v>
      </c>
      <c r="G4" s="0" t="n">
        <v>1</v>
      </c>
    </row>
    <row r="5" customFormat="false" ht="14.25" hidden="false" customHeight="false" outlineLevel="0" collapsed="false">
      <c r="A5" s="0" t="s">
        <v>58</v>
      </c>
      <c r="B5" s="0" t="n">
        <v>34</v>
      </c>
      <c r="C5" s="0" t="n">
        <v>32</v>
      </c>
      <c r="D5" s="0" t="n">
        <v>34</v>
      </c>
      <c r="E5" s="0" t="n">
        <v>34</v>
      </c>
      <c r="F5" s="0" t="n">
        <v>39</v>
      </c>
      <c r="G5" s="0" t="n">
        <v>28</v>
      </c>
    </row>
    <row r="6" customFormat="false" ht="14.25" hidden="false" customHeight="false" outlineLevel="0" collapsed="false">
      <c r="A6" s="0" t="s">
        <v>59</v>
      </c>
      <c r="B6" s="0" t="n">
        <v>20</v>
      </c>
      <c r="C6" s="0" t="n">
        <v>22</v>
      </c>
      <c r="D6" s="0" t="n">
        <v>24</v>
      </c>
      <c r="E6" s="0" t="n">
        <v>24</v>
      </c>
      <c r="F6" s="0" t="n">
        <v>27</v>
      </c>
      <c r="G6" s="0" t="n">
        <v>32</v>
      </c>
    </row>
    <row r="7" customFormat="false" ht="14.25" hidden="false" customHeight="false" outlineLevel="0" collapsed="false">
      <c r="A7" s="0" t="s">
        <v>60</v>
      </c>
      <c r="B7" s="0" t="n">
        <v>12</v>
      </c>
      <c r="C7" s="0" t="n">
        <v>17</v>
      </c>
      <c r="D7" s="0" t="n">
        <v>13</v>
      </c>
      <c r="E7" s="0" t="n">
        <v>17</v>
      </c>
      <c r="F7" s="0" t="n">
        <v>25</v>
      </c>
      <c r="G7" s="0" t="n">
        <v>12</v>
      </c>
    </row>
    <row r="8" customFormat="false" ht="14.25" hidden="false" customHeight="false" outlineLevel="0" collapsed="false">
      <c r="A8" s="0" t="s">
        <v>61</v>
      </c>
      <c r="B8" s="0" t="n">
        <v>3</v>
      </c>
      <c r="C8" s="0" t="n">
        <v>3</v>
      </c>
      <c r="D8" s="0" t="n">
        <v>2</v>
      </c>
      <c r="E8" s="0" t="n">
        <v>2</v>
      </c>
      <c r="F8" s="0" t="n">
        <v>9</v>
      </c>
      <c r="G8" s="0" t="n">
        <v>4</v>
      </c>
    </row>
    <row r="9" customFormat="false" ht="14.25" hidden="false" customHeight="false" outlineLevel="0" collapsed="false">
      <c r="A9" s="0" t="s">
        <v>62</v>
      </c>
      <c r="B9" s="0" t="n">
        <v>0</v>
      </c>
      <c r="C9" s="0" t="n">
        <v>1</v>
      </c>
      <c r="D9" s="0" t="n">
        <v>0</v>
      </c>
      <c r="E9" s="0" t="n">
        <v>0</v>
      </c>
      <c r="F9" s="0" t="n">
        <v>0</v>
      </c>
      <c r="G9" s="0" t="n">
        <v>0</v>
      </c>
    </row>
    <row r="10" customFormat="false" ht="14.25" hidden="false" customHeight="false" outlineLevel="0" collapsed="false">
      <c r="A10" s="0" t="s">
        <v>63</v>
      </c>
      <c r="B10" s="0" t="n">
        <v>12</v>
      </c>
      <c r="C10" s="0" t="n">
        <v>12</v>
      </c>
      <c r="D10" s="0" t="n">
        <v>12</v>
      </c>
      <c r="E10" s="0" t="n">
        <v>11</v>
      </c>
      <c r="F10" s="0" t="n">
        <v>20</v>
      </c>
      <c r="G10" s="0" t="n">
        <v>12</v>
      </c>
    </row>
    <row r="13" customFormat="false" ht="14.25" hidden="false" customHeight="false" outlineLevel="0" collapsed="false">
      <c r="B13" s="6"/>
    </row>
    <row r="15" customFormat="false" ht="14.25" hidden="false" customHeight="false" outlineLevel="0" collapsed="false">
      <c r="A15" s="4" t="s">
        <v>50</v>
      </c>
      <c r="B15" s="4" t="s">
        <v>36</v>
      </c>
      <c r="C15" s="4" t="s">
        <v>35</v>
      </c>
      <c r="D15" s="4" t="s">
        <v>30</v>
      </c>
      <c r="E15" s="4" t="s">
        <v>32</v>
      </c>
      <c r="F15" s="4" t="s">
        <v>28</v>
      </c>
      <c r="G15" s="4" t="s">
        <v>15</v>
      </c>
    </row>
    <row r="16" customFormat="false" ht="14.25" hidden="false" customHeight="false" outlineLevel="0" collapsed="false">
      <c r="A16" s="0" t="s">
        <v>51</v>
      </c>
      <c r="B16" s="0" t="n">
        <v>11</v>
      </c>
      <c r="C16" s="0" t="n">
        <v>10</v>
      </c>
      <c r="D16" s="0" t="n">
        <v>8</v>
      </c>
      <c r="E16" s="0" t="n">
        <v>10</v>
      </c>
      <c r="F16" s="0" t="n">
        <v>25</v>
      </c>
      <c r="G16" s="0" t="n">
        <v>9</v>
      </c>
      <c r="I16" s="0" t="s">
        <v>52</v>
      </c>
      <c r="J16" s="0" t="n">
        <v>50</v>
      </c>
    </row>
    <row r="17" customFormat="false" ht="14.25" hidden="false" customHeight="false" outlineLevel="0" collapsed="false">
      <c r="A17" s="0" t="s">
        <v>53</v>
      </c>
      <c r="B17" s="0" t="n">
        <v>7</v>
      </c>
      <c r="C17" s="0" t="n">
        <v>7</v>
      </c>
      <c r="D17" s="0" t="n">
        <v>7</v>
      </c>
      <c r="E17" s="0" t="n">
        <v>7</v>
      </c>
      <c r="F17" s="0" t="n">
        <v>23</v>
      </c>
      <c r="G17" s="0" t="n">
        <v>7</v>
      </c>
      <c r="I17" s="0" t="s">
        <v>54</v>
      </c>
      <c r="J17" s="5" t="s">
        <v>64</v>
      </c>
      <c r="K17" s="0" t="s">
        <v>56</v>
      </c>
    </row>
    <row r="18" customFormat="false" ht="14.25" hidden="false" customHeight="false" outlineLevel="0" collapsed="false">
      <c r="A18" s="0" t="s">
        <v>57</v>
      </c>
      <c r="B18" s="0" t="n">
        <v>1</v>
      </c>
      <c r="C18" s="0" t="n">
        <v>0</v>
      </c>
      <c r="D18" s="0" t="n">
        <v>0</v>
      </c>
      <c r="E18" s="0" t="n">
        <v>0</v>
      </c>
      <c r="F18" s="0" t="n">
        <v>3</v>
      </c>
      <c r="G18" s="0" t="n">
        <v>0</v>
      </c>
    </row>
    <row r="19" customFormat="false" ht="14.25" hidden="false" customHeight="false" outlineLevel="0" collapsed="false">
      <c r="A19" s="0" t="s">
        <v>58</v>
      </c>
      <c r="B19" s="0" t="n">
        <v>21</v>
      </c>
      <c r="C19" s="0" t="n">
        <v>34</v>
      </c>
      <c r="D19" s="0" t="n">
        <v>25</v>
      </c>
      <c r="E19" s="0" t="n">
        <v>35</v>
      </c>
      <c r="F19" s="0" t="n">
        <v>42</v>
      </c>
      <c r="G19" s="0" t="n">
        <v>28</v>
      </c>
    </row>
    <row r="20" customFormat="false" ht="14.25" hidden="false" customHeight="false" outlineLevel="0" collapsed="false">
      <c r="A20" s="0" t="s">
        <v>59</v>
      </c>
      <c r="B20" s="0" t="n">
        <v>22</v>
      </c>
      <c r="C20" s="0" t="n">
        <v>13</v>
      </c>
      <c r="D20" s="0" t="n">
        <v>23</v>
      </c>
      <c r="E20" s="0" t="n">
        <v>13</v>
      </c>
      <c r="F20" s="0" t="n">
        <v>22</v>
      </c>
      <c r="G20" s="0" t="n">
        <v>23</v>
      </c>
    </row>
    <row r="21" customFormat="false" ht="14.25" hidden="false" customHeight="false" outlineLevel="0" collapsed="false">
      <c r="A21" s="0" t="s">
        <v>60</v>
      </c>
      <c r="B21" s="0" t="n">
        <v>11</v>
      </c>
      <c r="C21" s="0" t="n">
        <v>9</v>
      </c>
      <c r="D21" s="0" t="n">
        <v>9</v>
      </c>
      <c r="E21" s="0" t="n">
        <v>9</v>
      </c>
      <c r="F21" s="0" t="n">
        <v>25</v>
      </c>
      <c r="G21" s="0" t="n">
        <v>10</v>
      </c>
    </row>
    <row r="22" customFormat="false" ht="14.25" hidden="false" customHeight="false" outlineLevel="0" collapsed="false">
      <c r="A22" s="0" t="s">
        <v>61</v>
      </c>
      <c r="B22" s="0" t="n">
        <v>2</v>
      </c>
      <c r="C22" s="0" t="n">
        <v>1</v>
      </c>
      <c r="D22" s="0" t="n">
        <v>2</v>
      </c>
      <c r="E22" s="0" t="n">
        <v>0</v>
      </c>
      <c r="F22" s="0" t="n">
        <v>7</v>
      </c>
      <c r="G22" s="0" t="n">
        <v>1</v>
      </c>
    </row>
    <row r="23" customFormat="false" ht="14.25" hidden="false" customHeight="false" outlineLevel="0" collapsed="false">
      <c r="A23" s="0" t="s">
        <v>62</v>
      </c>
      <c r="B23" s="0" t="n">
        <v>0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</row>
    <row r="24" customFormat="false" ht="14.25" hidden="false" customHeight="false" outlineLevel="0" collapsed="false">
      <c r="A24" s="0" t="s">
        <v>63</v>
      </c>
      <c r="B24" s="0" t="n">
        <v>10</v>
      </c>
      <c r="C24" s="0" t="n">
        <v>8</v>
      </c>
      <c r="D24" s="0" t="n">
        <v>8</v>
      </c>
      <c r="E24" s="0" t="n">
        <v>9</v>
      </c>
      <c r="F24" s="0" t="n">
        <v>22</v>
      </c>
      <c r="G24" s="0" t="n">
        <v>7</v>
      </c>
    </row>
    <row r="29" customFormat="false" ht="14.25" hidden="false" customHeight="false" outlineLevel="0" collapsed="false">
      <c r="A29" s="4" t="s">
        <v>50</v>
      </c>
      <c r="B29" s="4" t="s">
        <v>36</v>
      </c>
      <c r="C29" s="4" t="s">
        <v>35</v>
      </c>
      <c r="D29" s="4" t="s">
        <v>30</v>
      </c>
      <c r="E29" s="4" t="s">
        <v>32</v>
      </c>
      <c r="F29" s="4" t="s">
        <v>28</v>
      </c>
      <c r="G29" s="4" t="s">
        <v>15</v>
      </c>
    </row>
    <row r="30" customFormat="false" ht="14.25" hidden="false" customHeight="false" outlineLevel="0" collapsed="false">
      <c r="A30" s="0" t="s">
        <v>51</v>
      </c>
      <c r="B30" s="0" t="n">
        <v>16</v>
      </c>
      <c r="C30" s="0" t="n">
        <v>18</v>
      </c>
      <c r="D30" s="0" t="n">
        <v>16</v>
      </c>
      <c r="E30" s="0" t="n">
        <v>16</v>
      </c>
      <c r="F30" s="0" t="n">
        <v>34</v>
      </c>
      <c r="G30" s="0" t="n">
        <v>18</v>
      </c>
      <c r="I30" s="0" t="s">
        <v>52</v>
      </c>
      <c r="J30" s="0" t="n">
        <v>50</v>
      </c>
    </row>
    <row r="31" customFormat="false" ht="14.25" hidden="false" customHeight="false" outlineLevel="0" collapsed="false">
      <c r="A31" s="0" t="s">
        <v>53</v>
      </c>
      <c r="B31" s="0" t="n">
        <v>17</v>
      </c>
      <c r="C31" s="0" t="n">
        <v>18</v>
      </c>
      <c r="D31" s="0" t="n">
        <v>17</v>
      </c>
      <c r="E31" s="0" t="n">
        <v>17</v>
      </c>
      <c r="F31" s="0" t="n">
        <v>36</v>
      </c>
      <c r="G31" s="0" t="n">
        <v>17</v>
      </c>
      <c r="I31" s="0" t="s">
        <v>54</v>
      </c>
      <c r="J31" s="5" t="s">
        <v>65</v>
      </c>
      <c r="K31" s="0" t="s">
        <v>56</v>
      </c>
    </row>
    <row r="32" customFormat="false" ht="14.25" hidden="false" customHeight="false" outlineLevel="0" collapsed="false">
      <c r="A32" s="0" t="s">
        <v>57</v>
      </c>
      <c r="B32" s="0" t="n">
        <v>1</v>
      </c>
      <c r="C32" s="0" t="n">
        <v>1</v>
      </c>
      <c r="D32" s="0" t="n">
        <v>1</v>
      </c>
      <c r="E32" s="0" t="n">
        <v>1</v>
      </c>
      <c r="F32" s="0" t="n">
        <v>5</v>
      </c>
      <c r="G32" s="0" t="n">
        <v>1</v>
      </c>
    </row>
    <row r="33" customFormat="false" ht="14.25" hidden="false" customHeight="false" outlineLevel="0" collapsed="false">
      <c r="A33" s="0" t="s">
        <v>58</v>
      </c>
      <c r="B33" s="0" t="n">
        <v>39</v>
      </c>
      <c r="C33" s="0" t="n">
        <v>39</v>
      </c>
      <c r="D33" s="0" t="n">
        <v>33</v>
      </c>
      <c r="E33" s="0" t="n">
        <v>39</v>
      </c>
      <c r="F33" s="0" t="n">
        <v>47</v>
      </c>
      <c r="G33" s="0" t="n">
        <v>34</v>
      </c>
    </row>
    <row r="34" customFormat="false" ht="14.25" hidden="false" customHeight="false" outlineLevel="0" collapsed="false">
      <c r="A34" s="0" t="s">
        <v>59</v>
      </c>
      <c r="B34" s="0" t="n">
        <v>13</v>
      </c>
      <c r="C34" s="0" t="n">
        <v>13</v>
      </c>
      <c r="D34" s="0" t="n">
        <v>15</v>
      </c>
      <c r="E34" s="0" t="n">
        <v>15</v>
      </c>
      <c r="F34" s="0" t="n">
        <v>22</v>
      </c>
      <c r="G34" s="0" t="n">
        <v>18</v>
      </c>
    </row>
    <row r="35" customFormat="false" ht="14.25" hidden="false" customHeight="false" outlineLevel="0" collapsed="false">
      <c r="A35" s="0" t="s">
        <v>60</v>
      </c>
      <c r="B35" s="0" t="n">
        <v>19</v>
      </c>
      <c r="C35" s="0" t="n">
        <v>19</v>
      </c>
      <c r="D35" s="0" t="n">
        <v>19</v>
      </c>
      <c r="E35" s="0" t="n">
        <v>17</v>
      </c>
      <c r="F35" s="0" t="n">
        <v>37</v>
      </c>
      <c r="G35" s="0" t="n">
        <v>19</v>
      </c>
    </row>
    <row r="36" customFormat="false" ht="14.25" hidden="false" customHeight="false" outlineLevel="0" collapsed="false">
      <c r="A36" s="0" t="s">
        <v>61</v>
      </c>
      <c r="B36" s="0" t="n">
        <v>1</v>
      </c>
      <c r="C36" s="0" t="n">
        <v>1</v>
      </c>
      <c r="D36" s="0" t="n">
        <v>2</v>
      </c>
      <c r="E36" s="0" t="n">
        <v>2</v>
      </c>
      <c r="F36" s="0" t="n">
        <v>5</v>
      </c>
      <c r="G36" s="0" t="n">
        <v>2</v>
      </c>
    </row>
    <row r="37" customFormat="false" ht="14.25" hidden="false" customHeight="false" outlineLevel="0" collapsed="false">
      <c r="A37" s="0" t="s">
        <v>62</v>
      </c>
      <c r="B37" s="0" t="n">
        <v>0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</row>
    <row r="38" customFormat="false" ht="14.25" hidden="false" customHeight="false" outlineLevel="0" collapsed="false">
      <c r="A38" s="0" t="s">
        <v>63</v>
      </c>
      <c r="B38" s="0" t="n">
        <v>16</v>
      </c>
      <c r="C38" s="0" t="n">
        <v>15</v>
      </c>
      <c r="D38" s="0" t="n">
        <v>19</v>
      </c>
      <c r="E38" s="0" t="n">
        <v>18</v>
      </c>
      <c r="F38" s="0" t="n">
        <v>33</v>
      </c>
      <c r="G38" s="0" t="n">
        <v>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Z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8" activeCellId="0" sqref="H18"/>
    </sheetView>
  </sheetViews>
  <sheetFormatPr defaultColWidth="8.5390625" defaultRowHeight="14.25" zeroHeight="false" outlineLevelRow="0" outlineLevelCol="0"/>
  <cols>
    <col collapsed="false" customWidth="true" hidden="false" outlineLevel="0" max="5" min="5" style="0" width="14.77"/>
    <col collapsed="false" customWidth="true" hidden="false" outlineLevel="0" max="6" min="6" style="0" width="15.22"/>
    <col collapsed="false" customWidth="true" hidden="false" outlineLevel="0" max="7" min="7" style="0" width="11"/>
    <col collapsed="false" customWidth="true" hidden="false" outlineLevel="0" max="9" min="8" style="0" width="8.88"/>
    <col collapsed="false" customWidth="true" hidden="false" outlineLevel="0" max="10" min="10" style="0" width="12.78"/>
    <col collapsed="false" customWidth="true" hidden="false" outlineLevel="0" max="19" min="14" style="0" width="8.78"/>
  </cols>
  <sheetData>
    <row r="1" customFormat="false" ht="14.25" hidden="false" customHeight="false" outlineLevel="0" collapsed="false">
      <c r="A1" s="0" t="s">
        <v>66</v>
      </c>
      <c r="N1" s="7" t="s">
        <v>67</v>
      </c>
      <c r="O1" s="8" t="s">
        <v>68</v>
      </c>
      <c r="P1" s="8" t="s">
        <v>69</v>
      </c>
      <c r="Q1" s="8"/>
      <c r="R1" s="8" t="s">
        <v>70</v>
      </c>
      <c r="S1" s="9"/>
      <c r="U1" s="7" t="s">
        <v>67</v>
      </c>
      <c r="V1" s="8" t="s">
        <v>68</v>
      </c>
      <c r="W1" s="8" t="s">
        <v>69</v>
      </c>
      <c r="X1" s="8"/>
      <c r="Y1" s="8" t="s">
        <v>71</v>
      </c>
      <c r="Z1" s="9"/>
    </row>
    <row r="2" customFormat="false" ht="14.25" hidden="false" customHeight="false" outlineLevel="0" collapsed="false">
      <c r="N2" s="10" t="s">
        <v>72</v>
      </c>
      <c r="O2" s="11" t="s">
        <v>73</v>
      </c>
      <c r="P2" s="11" t="s">
        <v>74</v>
      </c>
      <c r="Q2" s="11" t="s">
        <v>75</v>
      </c>
      <c r="R2" s="11" t="s">
        <v>76</v>
      </c>
      <c r="S2" s="12" t="s">
        <v>77</v>
      </c>
      <c r="U2" s="10" t="s">
        <v>72</v>
      </c>
      <c r="V2" s="11" t="s">
        <v>73</v>
      </c>
      <c r="W2" s="11" t="s">
        <v>74</v>
      </c>
      <c r="X2" s="11" t="s">
        <v>75</v>
      </c>
      <c r="Y2" s="11" t="s">
        <v>76</v>
      </c>
      <c r="Z2" s="12" t="s">
        <v>77</v>
      </c>
    </row>
    <row r="3" customFormat="false" ht="14.25" hidden="false" customHeight="false" outlineLevel="0" collapsed="false">
      <c r="B3" s="0" t="s">
        <v>68</v>
      </c>
      <c r="E3" s="0" t="s">
        <v>78</v>
      </c>
      <c r="F3" s="0" t="s">
        <v>79</v>
      </c>
      <c r="G3" s="0" t="s">
        <v>80</v>
      </c>
      <c r="H3" s="0" t="s">
        <v>81</v>
      </c>
      <c r="I3" s="0" t="s">
        <v>15</v>
      </c>
      <c r="J3" s="0" t="s">
        <v>22</v>
      </c>
      <c r="N3" s="10" t="n">
        <v>0.806</v>
      </c>
      <c r="O3" s="11" t="n">
        <v>1.683</v>
      </c>
      <c r="P3" s="11" t="n">
        <v>1.875</v>
      </c>
      <c r="Q3" s="11" t="n">
        <v>1.673</v>
      </c>
      <c r="R3" s="11" t="n">
        <v>0.043</v>
      </c>
      <c r="S3" s="12" t="n">
        <v>4.61</v>
      </c>
      <c r="U3" s="10" t="n">
        <v>0.809</v>
      </c>
      <c r="V3" s="11" t="n">
        <v>1.666</v>
      </c>
      <c r="W3" s="11" t="n">
        <v>1.775</v>
      </c>
      <c r="X3" s="11" t="n">
        <v>1.589</v>
      </c>
      <c r="Y3" s="11" t="n">
        <v>0.038</v>
      </c>
      <c r="Z3" s="12" t="n">
        <v>4.284</v>
      </c>
    </row>
    <row r="4" customFormat="false" ht="14.25" hidden="false" customHeight="false" outlineLevel="0" collapsed="false">
      <c r="B4" s="0" t="s">
        <v>69</v>
      </c>
      <c r="D4" s="0" t="s">
        <v>1</v>
      </c>
      <c r="E4" s="0" t="n">
        <f aca="false">AVERAGE(N3:N12)</f>
        <v>0.8053</v>
      </c>
      <c r="F4" s="0" t="n">
        <f aca="false">AVERAGE(O3:O12)</f>
        <v>1.6867</v>
      </c>
      <c r="G4" s="0" t="n">
        <f aca="false">AVERAGE(P3:P12)</f>
        <v>1.8862</v>
      </c>
      <c r="H4" s="0" t="n">
        <f aca="false">AVERAGE(Q3:Q12)</f>
        <v>1.6837</v>
      </c>
      <c r="I4" s="0" t="n">
        <f aca="false">AVERAGE(R3:R12)</f>
        <v>0.0397</v>
      </c>
      <c r="J4" s="0" t="n">
        <f aca="false">AVERAGE(S3:S12)</f>
        <v>5.0495</v>
      </c>
      <c r="N4" s="10" t="n">
        <v>0.808</v>
      </c>
      <c r="O4" s="11" t="n">
        <v>1.688</v>
      </c>
      <c r="P4" s="11" t="n">
        <v>1.942</v>
      </c>
      <c r="Q4" s="11" t="n">
        <v>1.691</v>
      </c>
      <c r="R4" s="11" t="n">
        <v>0.041</v>
      </c>
      <c r="S4" s="12" t="n">
        <v>4.87</v>
      </c>
      <c r="U4" s="10" t="n">
        <v>0.789</v>
      </c>
      <c r="V4" s="11" t="n">
        <v>1.664</v>
      </c>
      <c r="W4" s="11" t="n">
        <v>1.766</v>
      </c>
      <c r="X4" s="11" t="n">
        <v>1.59</v>
      </c>
      <c r="Y4" s="11" t="n">
        <v>0.035</v>
      </c>
      <c r="Z4" s="12" t="n">
        <v>4.253</v>
      </c>
    </row>
    <row r="5" customFormat="false" ht="14.25" hidden="false" customHeight="false" outlineLevel="0" collapsed="false">
      <c r="B5" s="0" t="s">
        <v>82</v>
      </c>
      <c r="D5" s="0" t="s">
        <v>2</v>
      </c>
      <c r="E5" s="0" t="n">
        <f aca="false">AVERAGE(N17:N26)</f>
        <v>0.4416</v>
      </c>
      <c r="F5" s="0" t="n">
        <f aca="false">AVERAGE(O17:O26)</f>
        <v>0.6552</v>
      </c>
      <c r="G5" s="0" t="n">
        <f aca="false">AVERAGE(P17:P26)</f>
        <v>0.8413</v>
      </c>
      <c r="H5" s="0" t="n">
        <f aca="false">AVERAGE(Q17:Q26)</f>
        <v>0.7521</v>
      </c>
      <c r="I5" s="0" t="n">
        <f aca="false">AVERAGE(R17:R26)</f>
        <v>0.0342</v>
      </c>
      <c r="J5" s="0" t="n">
        <f aca="false">AVERAGE(S17:S26)</f>
        <v>4.2415</v>
      </c>
      <c r="N5" s="10" t="n">
        <v>0.814</v>
      </c>
      <c r="O5" s="11" t="n">
        <v>1.686</v>
      </c>
      <c r="P5" s="11" t="n">
        <v>1.952</v>
      </c>
      <c r="Q5" s="11" t="n">
        <v>1.672</v>
      </c>
      <c r="R5" s="11" t="n">
        <v>0.039</v>
      </c>
      <c r="S5" s="12" t="n">
        <v>5.519</v>
      </c>
      <c r="U5" s="10" t="n">
        <v>0.779</v>
      </c>
      <c r="V5" s="11" t="n">
        <v>1.666</v>
      </c>
      <c r="W5" s="11" t="n">
        <v>1.773</v>
      </c>
      <c r="X5" s="11" t="n">
        <v>1.587</v>
      </c>
      <c r="Y5" s="11" t="n">
        <v>0.036</v>
      </c>
      <c r="Z5" s="12" t="n">
        <v>4.251</v>
      </c>
    </row>
    <row r="6" customFormat="false" ht="14.25" hidden="false" customHeight="false" outlineLevel="0" collapsed="false">
      <c r="N6" s="10" t="n">
        <v>0.837</v>
      </c>
      <c r="O6" s="11" t="n">
        <v>1.685</v>
      </c>
      <c r="P6" s="11" t="n">
        <v>1.871</v>
      </c>
      <c r="Q6" s="11" t="n">
        <v>1.695</v>
      </c>
      <c r="R6" s="11" t="n">
        <v>0.038</v>
      </c>
      <c r="S6" s="12" t="n">
        <v>4.727</v>
      </c>
      <c r="U6" s="10" t="n">
        <v>0.807</v>
      </c>
      <c r="V6" s="11" t="n">
        <v>1.669</v>
      </c>
      <c r="W6" s="11" t="n">
        <v>1.772</v>
      </c>
      <c r="X6" s="11" t="n">
        <v>1.584</v>
      </c>
      <c r="Y6" s="11" t="n">
        <v>0.035</v>
      </c>
      <c r="Z6" s="12" t="n">
        <v>4.266</v>
      </c>
    </row>
    <row r="7" customFormat="false" ht="14.25" hidden="false" customHeight="false" outlineLevel="0" collapsed="false">
      <c r="N7" s="10" t="n">
        <v>0.811</v>
      </c>
      <c r="O7" s="11" t="n">
        <v>1.681</v>
      </c>
      <c r="P7" s="11" t="n">
        <v>1.866</v>
      </c>
      <c r="Q7" s="11" t="n">
        <v>1.68</v>
      </c>
      <c r="R7" s="11" t="n">
        <v>0.038</v>
      </c>
      <c r="S7" s="12" t="n">
        <v>4.929</v>
      </c>
      <c r="U7" s="10" t="n">
        <v>0.778</v>
      </c>
      <c r="V7" s="11" t="n">
        <v>1.67</v>
      </c>
      <c r="W7" s="11" t="n">
        <v>1.772</v>
      </c>
      <c r="X7" s="11" t="n">
        <v>1.582</v>
      </c>
      <c r="Y7" s="11" t="n">
        <v>0.037</v>
      </c>
      <c r="Z7" s="12" t="n">
        <v>4.272</v>
      </c>
    </row>
    <row r="8" customFormat="false" ht="14.25" hidden="false" customHeight="false" outlineLevel="0" collapsed="false">
      <c r="B8" s="0" t="s">
        <v>68</v>
      </c>
      <c r="E8" s="0" t="s">
        <v>78</v>
      </c>
      <c r="F8" s="0" t="s">
        <v>79</v>
      </c>
      <c r="G8" s="0" t="s">
        <v>80</v>
      </c>
      <c r="H8" s="0" t="s">
        <v>81</v>
      </c>
      <c r="I8" s="0" t="s">
        <v>15</v>
      </c>
      <c r="J8" s="0" t="s">
        <v>22</v>
      </c>
      <c r="N8" s="10" t="n">
        <v>0.809</v>
      </c>
      <c r="O8" s="11" t="n">
        <v>1.682</v>
      </c>
      <c r="P8" s="11" t="n">
        <v>1.892</v>
      </c>
      <c r="Q8" s="11" t="n">
        <v>1.699</v>
      </c>
      <c r="R8" s="11" t="n">
        <v>0.04</v>
      </c>
      <c r="S8" s="12" t="n">
        <v>4.594</v>
      </c>
      <c r="U8" s="10" t="n">
        <v>0.779</v>
      </c>
      <c r="V8" s="11" t="n">
        <v>1.664</v>
      </c>
      <c r="W8" s="11" t="n">
        <v>1.771</v>
      </c>
      <c r="X8" s="11" t="n">
        <v>1.583</v>
      </c>
      <c r="Y8" s="11" t="n">
        <v>0.037</v>
      </c>
      <c r="Z8" s="12" t="n">
        <v>4.266</v>
      </c>
    </row>
    <row r="9" customFormat="false" ht="14.25" hidden="false" customHeight="false" outlineLevel="0" collapsed="false">
      <c r="B9" s="0" t="s">
        <v>69</v>
      </c>
      <c r="D9" s="0" t="s">
        <v>1</v>
      </c>
      <c r="E9" s="0" t="n">
        <f aca="false">AVERAGE(U3:U12)</f>
        <v>0.787</v>
      </c>
      <c r="F9" s="0" t="n">
        <f aca="false">AVERAGE(V3:V12)</f>
        <v>1.6664</v>
      </c>
      <c r="G9" s="0" t="n">
        <f aca="false">AVERAGE(W3:W12)</f>
        <v>1.7712</v>
      </c>
      <c r="H9" s="0" t="n">
        <f aca="false">AVERAGE(X3:X12)</f>
        <v>1.5857</v>
      </c>
      <c r="I9" s="0" t="n">
        <f aca="false">AVERAGE(Y3:Y12)</f>
        <v>0.0355</v>
      </c>
      <c r="J9" s="0" t="n">
        <f aca="false">AVERAGE(Z3:Z12)</f>
        <v>4.3286</v>
      </c>
      <c r="N9" s="10" t="n">
        <v>0.808</v>
      </c>
      <c r="O9" s="11" t="n">
        <v>1.681</v>
      </c>
      <c r="P9" s="11" t="n">
        <v>1.875</v>
      </c>
      <c r="Q9" s="11" t="n">
        <v>1.686</v>
      </c>
      <c r="R9" s="11" t="n">
        <v>0.039</v>
      </c>
      <c r="S9" s="12" t="n">
        <v>4.632</v>
      </c>
      <c r="U9" s="10" t="n">
        <v>0.797</v>
      </c>
      <c r="V9" s="11" t="n">
        <v>1.663</v>
      </c>
      <c r="W9" s="11" t="n">
        <v>1.768</v>
      </c>
      <c r="X9" s="11" t="n">
        <v>1.584</v>
      </c>
      <c r="Y9" s="11" t="n">
        <v>0.035</v>
      </c>
      <c r="Z9" s="12" t="n">
        <v>4.269</v>
      </c>
    </row>
    <row r="10" customFormat="false" ht="14.25" hidden="false" customHeight="false" outlineLevel="0" collapsed="false">
      <c r="B10" s="0" t="s">
        <v>83</v>
      </c>
      <c r="D10" s="0" t="s">
        <v>2</v>
      </c>
      <c r="E10" s="0" t="n">
        <f aca="false">AVERAGE(U17:U26)</f>
        <v>0.4363</v>
      </c>
      <c r="F10" s="0" t="n">
        <f aca="false">AVERAGE(V17:V26)</f>
        <v>0.6445</v>
      </c>
      <c r="G10" s="0" t="n">
        <f aca="false">AVERAGE(W17:W26)</f>
        <v>0.8564</v>
      </c>
      <c r="H10" s="0" t="n">
        <f aca="false">AVERAGE(X17:X26)</f>
        <v>0.7604</v>
      </c>
      <c r="I10" s="0" t="n">
        <f aca="false">AVERAGE(Y17:Y26)</f>
        <v>0.0338</v>
      </c>
      <c r="J10" s="0" t="n">
        <f aca="false">AVERAGE(Z17:Z26)</f>
        <v>4.1614</v>
      </c>
      <c r="N10" s="10" t="n">
        <v>0.789</v>
      </c>
      <c r="O10" s="11" t="n">
        <v>1.678</v>
      </c>
      <c r="P10" s="11" t="n">
        <v>1.858</v>
      </c>
      <c r="Q10" s="11" t="n">
        <v>1.673</v>
      </c>
      <c r="R10" s="11" t="n">
        <v>0.039</v>
      </c>
      <c r="S10" s="12" t="n">
        <v>5.486</v>
      </c>
      <c r="U10" s="10" t="n">
        <v>0.779</v>
      </c>
      <c r="V10" s="11" t="n">
        <v>1.664</v>
      </c>
      <c r="W10" s="11" t="n">
        <v>1.774</v>
      </c>
      <c r="X10" s="11" t="n">
        <v>1.586</v>
      </c>
      <c r="Y10" s="11" t="n">
        <v>0.036</v>
      </c>
      <c r="Z10" s="12" t="n">
        <v>4.572</v>
      </c>
    </row>
    <row r="11" customFormat="false" ht="14.25" hidden="false" customHeight="false" outlineLevel="0" collapsed="false">
      <c r="N11" s="10" t="n">
        <v>0.785</v>
      </c>
      <c r="O11" s="11" t="n">
        <v>1.711</v>
      </c>
      <c r="P11" s="11" t="n">
        <v>1.86</v>
      </c>
      <c r="Q11" s="11" t="n">
        <v>1.699</v>
      </c>
      <c r="R11" s="11" t="n">
        <v>0.037</v>
      </c>
      <c r="S11" s="12" t="n">
        <v>5.514</v>
      </c>
      <c r="U11" s="10" t="n">
        <v>0.78</v>
      </c>
      <c r="V11" s="11" t="n">
        <v>1.669</v>
      </c>
      <c r="W11" s="11" t="n">
        <v>1.771</v>
      </c>
      <c r="X11" s="11" t="n">
        <v>1.589</v>
      </c>
      <c r="Y11" s="11" t="n">
        <v>0.033</v>
      </c>
      <c r="Z11" s="12" t="n">
        <v>4.494</v>
      </c>
    </row>
    <row r="12" customFormat="false" ht="14.25" hidden="false" customHeight="false" outlineLevel="0" collapsed="false">
      <c r="N12" s="10" t="n">
        <v>0.786</v>
      </c>
      <c r="O12" s="11" t="n">
        <v>1.692</v>
      </c>
      <c r="P12" s="11" t="n">
        <v>1.871</v>
      </c>
      <c r="Q12" s="11" t="n">
        <v>1.669</v>
      </c>
      <c r="R12" s="11" t="n">
        <v>0.043</v>
      </c>
      <c r="S12" s="12" t="n">
        <v>5.614</v>
      </c>
      <c r="U12" s="10" t="n">
        <v>0.773</v>
      </c>
      <c r="V12" s="11" t="n">
        <v>1.669</v>
      </c>
      <c r="W12" s="11" t="n">
        <v>1.77</v>
      </c>
      <c r="X12" s="11" t="n">
        <v>1.583</v>
      </c>
      <c r="Y12" s="11" t="n">
        <v>0.033</v>
      </c>
      <c r="Z12" s="12" t="n">
        <v>4.359</v>
      </c>
    </row>
    <row r="13" customFormat="false" ht="14.25" hidden="false" customHeight="false" outlineLevel="0" collapsed="false">
      <c r="N13" s="10"/>
      <c r="O13" s="11"/>
      <c r="P13" s="11"/>
      <c r="Q13" s="11"/>
      <c r="R13" s="11"/>
      <c r="S13" s="12"/>
      <c r="U13" s="10"/>
      <c r="V13" s="11"/>
      <c r="W13" s="11"/>
      <c r="X13" s="11"/>
      <c r="Y13" s="11"/>
      <c r="Z13" s="12"/>
    </row>
    <row r="14" customFormat="false" ht="14.25" hidden="false" customHeight="false" outlineLevel="0" collapsed="false">
      <c r="N14" s="10"/>
      <c r="O14" s="11"/>
      <c r="P14" s="11"/>
      <c r="Q14" s="11"/>
      <c r="R14" s="11"/>
      <c r="S14" s="12"/>
      <c r="U14" s="10"/>
      <c r="V14" s="11"/>
      <c r="W14" s="11"/>
      <c r="X14" s="11"/>
      <c r="Y14" s="11"/>
      <c r="Z14" s="12"/>
    </row>
    <row r="15" customFormat="false" ht="14.25" hidden="false" customHeight="false" outlineLevel="0" collapsed="false">
      <c r="N15" s="10" t="s">
        <v>84</v>
      </c>
      <c r="O15" s="11"/>
      <c r="P15" s="11"/>
      <c r="Q15" s="11"/>
      <c r="R15" s="11"/>
      <c r="S15" s="12"/>
      <c r="U15" s="10" t="s">
        <v>84</v>
      </c>
      <c r="V15" s="11"/>
      <c r="W15" s="11"/>
      <c r="X15" s="11"/>
      <c r="Y15" s="11"/>
      <c r="Z15" s="12"/>
    </row>
    <row r="16" customFormat="false" ht="14.25" hidden="false" customHeight="false" outlineLevel="0" collapsed="false">
      <c r="N16" s="10" t="s">
        <v>72</v>
      </c>
      <c r="O16" s="11" t="s">
        <v>73</v>
      </c>
      <c r="P16" s="11" t="s">
        <v>74</v>
      </c>
      <c r="Q16" s="11" t="s">
        <v>75</v>
      </c>
      <c r="R16" s="11" t="s">
        <v>76</v>
      </c>
      <c r="S16" s="12" t="s">
        <v>77</v>
      </c>
      <c r="U16" s="10" t="s">
        <v>72</v>
      </c>
      <c r="V16" s="11" t="s">
        <v>73</v>
      </c>
      <c r="W16" s="11" t="s">
        <v>74</v>
      </c>
      <c r="X16" s="11" t="s">
        <v>75</v>
      </c>
      <c r="Y16" s="11" t="s">
        <v>76</v>
      </c>
      <c r="Z16" s="12" t="s">
        <v>77</v>
      </c>
    </row>
    <row r="17" customFormat="false" ht="14.25" hidden="false" customHeight="false" outlineLevel="0" collapsed="false">
      <c r="N17" s="10" t="n">
        <v>0.437</v>
      </c>
      <c r="O17" s="11" t="n">
        <v>0.666</v>
      </c>
      <c r="P17" s="11" t="n">
        <v>0.847</v>
      </c>
      <c r="Q17" s="11" t="n">
        <v>0.751</v>
      </c>
      <c r="R17" s="11" t="n">
        <v>0.036</v>
      </c>
      <c r="S17" s="12" t="n">
        <v>3.861</v>
      </c>
      <c r="U17" s="10" t="n">
        <v>0.439</v>
      </c>
      <c r="V17" s="11" t="n">
        <v>0.651</v>
      </c>
      <c r="W17" s="11" t="n">
        <v>0.839</v>
      </c>
      <c r="X17" s="11" t="n">
        <v>0.773</v>
      </c>
      <c r="Y17" s="11" t="n">
        <v>0.035</v>
      </c>
      <c r="Z17" s="12" t="n">
        <v>3.813</v>
      </c>
    </row>
    <row r="18" customFormat="false" ht="14.25" hidden="false" customHeight="false" outlineLevel="0" collapsed="false">
      <c r="N18" s="10" t="n">
        <v>0.434</v>
      </c>
      <c r="O18" s="11" t="n">
        <v>0.658</v>
      </c>
      <c r="P18" s="11" t="n">
        <v>0.855</v>
      </c>
      <c r="Q18" s="11" t="n">
        <v>0.753</v>
      </c>
      <c r="R18" s="11" t="n">
        <v>0.035</v>
      </c>
      <c r="S18" s="12" t="n">
        <v>3.794</v>
      </c>
      <c r="U18" s="10" t="n">
        <v>0.438</v>
      </c>
      <c r="V18" s="11" t="n">
        <v>0.65</v>
      </c>
      <c r="W18" s="11" t="n">
        <v>0.884</v>
      </c>
      <c r="X18" s="11" t="n">
        <v>0.77</v>
      </c>
      <c r="Y18" s="11" t="n">
        <v>0.034</v>
      </c>
      <c r="Z18" s="12" t="n">
        <v>3.771</v>
      </c>
    </row>
    <row r="19" customFormat="false" ht="14.25" hidden="false" customHeight="false" outlineLevel="0" collapsed="false">
      <c r="N19" s="10" t="n">
        <v>0.441</v>
      </c>
      <c r="O19" s="11" t="n">
        <v>0.66</v>
      </c>
      <c r="P19" s="11" t="n">
        <v>0.844</v>
      </c>
      <c r="Q19" s="11" t="n">
        <v>0.754</v>
      </c>
      <c r="R19" s="11" t="n">
        <v>0.037</v>
      </c>
      <c r="S19" s="12" t="n">
        <v>4.038</v>
      </c>
      <c r="U19" s="10" t="n">
        <v>0.439</v>
      </c>
      <c r="V19" s="11" t="n">
        <v>0.655</v>
      </c>
      <c r="W19" s="11" t="n">
        <v>0.855</v>
      </c>
      <c r="X19" s="11" t="n">
        <v>0.761</v>
      </c>
      <c r="Y19" s="11" t="n">
        <v>0.033</v>
      </c>
      <c r="Z19" s="12" t="n">
        <v>4.309</v>
      </c>
    </row>
    <row r="20" customFormat="false" ht="14.25" hidden="false" customHeight="false" outlineLevel="0" collapsed="false">
      <c r="N20" s="10" t="n">
        <v>0.441</v>
      </c>
      <c r="O20" s="11" t="n">
        <v>0.669</v>
      </c>
      <c r="P20" s="11" t="n">
        <v>0.838</v>
      </c>
      <c r="Q20" s="11" t="n">
        <v>0.753</v>
      </c>
      <c r="R20" s="11" t="n">
        <v>0.032</v>
      </c>
      <c r="S20" s="12" t="n">
        <v>4.528</v>
      </c>
      <c r="U20" s="10" t="n">
        <v>0.436</v>
      </c>
      <c r="V20" s="11" t="n">
        <v>0.667</v>
      </c>
      <c r="W20" s="11" t="n">
        <v>0.874</v>
      </c>
      <c r="X20" s="11" t="n">
        <v>0.77</v>
      </c>
      <c r="Y20" s="11" t="n">
        <v>0.034</v>
      </c>
      <c r="Z20" s="12" t="n">
        <v>4.091</v>
      </c>
    </row>
    <row r="21" customFormat="false" ht="14.25" hidden="false" customHeight="false" outlineLevel="0" collapsed="false">
      <c r="N21" s="10" t="n">
        <v>0.438</v>
      </c>
      <c r="O21" s="11" t="n">
        <v>0.651</v>
      </c>
      <c r="P21" s="11" t="n">
        <v>0.836</v>
      </c>
      <c r="Q21" s="11" t="n">
        <v>0.752</v>
      </c>
      <c r="R21" s="11" t="n">
        <v>0.032</v>
      </c>
      <c r="S21" s="12" t="n">
        <v>4.437</v>
      </c>
      <c r="U21" s="10" t="n">
        <v>0.432</v>
      </c>
      <c r="V21" s="11" t="n">
        <v>0.655</v>
      </c>
      <c r="W21" s="11" t="n">
        <v>0.842</v>
      </c>
      <c r="X21" s="11" t="n">
        <v>0.77</v>
      </c>
      <c r="Y21" s="11" t="n">
        <v>0.035</v>
      </c>
      <c r="Z21" s="12" t="n">
        <v>4.026</v>
      </c>
    </row>
    <row r="22" customFormat="false" ht="14.25" hidden="false" customHeight="false" outlineLevel="0" collapsed="false">
      <c r="N22" s="10" t="n">
        <v>0.436</v>
      </c>
      <c r="O22" s="11" t="n">
        <v>0.653</v>
      </c>
      <c r="P22" s="11" t="n">
        <v>0.838</v>
      </c>
      <c r="Q22" s="11" t="n">
        <v>0.752</v>
      </c>
      <c r="R22" s="11" t="n">
        <v>0.033</v>
      </c>
      <c r="S22" s="12" t="n">
        <v>4.187</v>
      </c>
      <c r="U22" s="10" t="n">
        <v>0.437</v>
      </c>
      <c r="V22" s="11" t="n">
        <v>0.637</v>
      </c>
      <c r="W22" s="11" t="n">
        <v>0.856</v>
      </c>
      <c r="X22" s="11" t="n">
        <v>0.751</v>
      </c>
      <c r="Y22" s="11" t="n">
        <v>0.032</v>
      </c>
      <c r="Z22" s="12" t="n">
        <v>4.07</v>
      </c>
    </row>
    <row r="23" customFormat="false" ht="14.25" hidden="false" customHeight="false" outlineLevel="0" collapsed="false">
      <c r="N23" s="10" t="n">
        <v>0.447</v>
      </c>
      <c r="O23" s="11" t="n">
        <v>0.646</v>
      </c>
      <c r="P23" s="11" t="n">
        <v>0.84</v>
      </c>
      <c r="Q23" s="11" t="n">
        <v>0.752</v>
      </c>
      <c r="R23" s="11" t="n">
        <v>0.033</v>
      </c>
      <c r="S23" s="12" t="n">
        <v>4.708</v>
      </c>
      <c r="U23" s="10" t="n">
        <v>0.436</v>
      </c>
      <c r="V23" s="11" t="n">
        <v>0.632</v>
      </c>
      <c r="W23" s="11" t="n">
        <v>0.844</v>
      </c>
      <c r="X23" s="11" t="n">
        <v>0.753</v>
      </c>
      <c r="Y23" s="11" t="n">
        <v>0.033</v>
      </c>
      <c r="Z23" s="12" t="n">
        <v>4.554</v>
      </c>
    </row>
    <row r="24" customFormat="false" ht="14.25" hidden="false" customHeight="false" outlineLevel="0" collapsed="false">
      <c r="N24" s="10" t="n">
        <v>0.438</v>
      </c>
      <c r="O24" s="11" t="n">
        <v>0.653</v>
      </c>
      <c r="P24" s="11" t="n">
        <v>0.838</v>
      </c>
      <c r="Q24" s="11" t="n">
        <v>0.749</v>
      </c>
      <c r="R24" s="11" t="n">
        <v>0.034</v>
      </c>
      <c r="S24" s="12" t="n">
        <v>4.092</v>
      </c>
      <c r="U24" s="10" t="n">
        <v>0.433</v>
      </c>
      <c r="V24" s="11" t="n">
        <v>0.635</v>
      </c>
      <c r="W24" s="11" t="n">
        <v>0.843</v>
      </c>
      <c r="X24" s="11" t="n">
        <v>0.754</v>
      </c>
      <c r="Y24" s="11" t="n">
        <v>0.033</v>
      </c>
      <c r="Z24" s="12" t="n">
        <v>4.468</v>
      </c>
    </row>
    <row r="25" customFormat="false" ht="14.25" hidden="false" customHeight="false" outlineLevel="0" collapsed="false">
      <c r="N25" s="10" t="n">
        <v>0.448</v>
      </c>
      <c r="O25" s="11" t="n">
        <v>0.652</v>
      </c>
      <c r="P25" s="11" t="n">
        <v>0.84</v>
      </c>
      <c r="Q25" s="11" t="n">
        <v>0.753</v>
      </c>
      <c r="R25" s="11" t="n">
        <v>0.035</v>
      </c>
      <c r="S25" s="12" t="n">
        <v>4.579</v>
      </c>
      <c r="U25" s="10" t="n">
        <v>0.434</v>
      </c>
      <c r="V25" s="11" t="n">
        <v>0.632</v>
      </c>
      <c r="W25" s="11" t="n">
        <v>0.852</v>
      </c>
      <c r="X25" s="11" t="n">
        <v>0.751</v>
      </c>
      <c r="Y25" s="11" t="n">
        <v>0.033</v>
      </c>
      <c r="Z25" s="12" t="n">
        <v>4.513</v>
      </c>
    </row>
    <row r="26" customFormat="false" ht="15" hidden="false" customHeight="false" outlineLevel="0" collapsed="false">
      <c r="N26" s="13" t="n">
        <v>0.456</v>
      </c>
      <c r="O26" s="14" t="n">
        <v>0.644</v>
      </c>
      <c r="P26" s="14" t="n">
        <v>0.837</v>
      </c>
      <c r="Q26" s="14" t="n">
        <v>0.752</v>
      </c>
      <c r="R26" s="14" t="n">
        <v>0.035</v>
      </c>
      <c r="S26" s="15" t="n">
        <v>4.191</v>
      </c>
      <c r="U26" s="13" t="n">
        <v>0.439</v>
      </c>
      <c r="V26" s="14" t="n">
        <v>0.631</v>
      </c>
      <c r="W26" s="14" t="n">
        <v>0.875</v>
      </c>
      <c r="X26" s="14" t="n">
        <v>0.751</v>
      </c>
      <c r="Y26" s="14" t="n">
        <v>0.036</v>
      </c>
      <c r="Z26" s="15" t="n">
        <v>3.999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DataMashup xmlns="http://schemas.microsoft.com/DataMashup">AAAAACMFAABQSwMEFAACAAgAWVy1XGlP2NOnAAAA9wAAABIAHABDb25maWcvUGFja2FnZS54bWwgohgAKKAUAAAAAAAAAAAAAAAAAAAAAAAAAAAAe797v419RW6OQllqUXFmfp6tkqGegZJCcUliXkpiTn5eqq1SXr6SvR0vl01AYnJ2YnqqAlB1XrFVRXGKrVJGSUmBlb5+eXm5XrmxXn5Rur6RgYGhfoSvT3ByRmpuohJccSZhxbqZeSBrk1OV7GzCIK6xM9IzNDXWMzIy0zOw0YcJ2vhm5iEUGAEdDJJFErRxLs0pKS1Ktcso1fUItdGHcW30oX6wAwBQSwMEFAACAAgAWVy1XFNyOCybAAAA4QAAABMAHABbQ29udGVudF9UeXBlc10ueG1sIKIYACigFAAAAAAAAAAAAAAAAAAAAAAAAAAAAG2OPQ7CMAxGrxJ5b10YEEJNGYAbcIEouD+icaLGReVsDByJK5C2a0d/fs+ff59veZ5cr140xM6zhl1egCK2/tFxo2GUOjvCuSrv70BRJZSjhlYknBCjbcmZmPtAnDa1H5yRNA4NBmOfpiHcF8UBrWchlkzmG1CVV6rN2Iu6TSlea5MO6rJyc5UGoUlwiXHTcFt86E3Hi4HLw9UfUEsDBBQAAgAIAFlctVydHPnuIwIAAGATAAATABwARm9ybXVsYXMvU2VjdGlvbjEubSCiGAAooBQAAAAAAAAAAAAAAAAAAAAAAAAAAADtls1u2kAQgO9IvMPKXECyrEBoKrXyoSWJ2kuVCnqKK2uxB9hmf6ydMQWhPEQeoccecuojoL5XlwKiFJy0UkWixrbk9c7Mzux4v501QkLCaNZdts2XlQqOuIWUwSQDKxRoii1gLglZyCRQtcLcdW6snX9ZiDo4Dk5Nki8s6+dCQtAxmlwH617nRfQBwWKkuE1AyqAv+cgQj9YDMDJa8n70WugLnlwJPYxWwaLd+EGCY6/hX56CFEoQ2NDzPZ91jMyVxrDtszOdmNQ5CZutZ0c+e58bgi5NJYSb1+Cd0fCx4S/zqHln8vuNnH/NCNxNbACfXC+BK8/l1uN9N+DCGuVGvwGeulzqq9R9drlSvJKym3DJLYZk81999+a3WY5Mzb+lBue3NOYbrz3LNQ6MVcv596YZYP2O6fizmYdcZRJikbq032o6aQeLYdc+m3lcDo2Tkuszggn9FCJZTjCc7igSg7QlvG5UK0LfMe8NGGun8WehY8XJislhyNgT+B4kTp4AEkVLPLQA6TQ+2kVlpWkWalqFmuNdDY5ADrbFfwFTzdtTZ+qthlcWmwcn6zEUm5q3r9wcDpCy5vw3Nadaqa6pWu3xg55e61KzHfsemJ4/YZhca0FBnBnhPmghHgNhkdyTCi1cFkPAeMATiPOs0Ey5HY65ilG6FSu00ia2bqUXP8v/nsua9xuZhz8JSzxLPP8cz+MSzxLPx4tnu8SzxPNB8fwBUEsBAi0AFAACAAgAWVy1XGlP2NOnAAAA9wAAABIAAAAAAAAAAAAAAAAAAAAAAENvbmZpZy9QYWNrYWdlLnhtbFBLAQItABQAAgAIAFlctVxTcjgsmwAAAOEAAAATAAAAAAAAAAAAAAAAAPMAAABbQ29udGVudF9UeXBlc10ueG1sUEsBAi0AFAACAAgAWVy1XJ0c+e4jAgAAYBMAABMAAAAAAAAAAAAAAAAA2wEAAEZvcm11bGFzL1NlY3Rpb24xLm1QSwUGAAAAAAMAAwDCAAAASwQAAAAAEAEAAO+7vzw/eG1sIHZlcnNpb249IjEuMCIgZW5jb2Rpbmc9InV0Zi04Ij8+PFBlcm1pc3Npb25MaXN0IHhtbG5zOnhzZD0iaHR0cDovL3d3dy53My5vcmcvMjAwMS9YTUxTY2hlbWEiIHhtbG5zOnhzaT0iaHR0cDovL3d3dy53My5vcmcvMjAwMS9YTUxTY2hlbWEtaW5zdGFuY2UiPjxDYW5FdmFsdWF0ZUZ1dHVyZVBhY2thZ2VzPmZhbHNlPC9DYW5FdmFsdWF0ZUZ1dHVyZVBhY2thZ2VzPjxGaXJld2FsbEVuYWJsZWQ+dHJ1ZTwvRmlyZXdhbGxFbmFibGVkPjwvUGVybWlzc2lvbkxpc3Q+GloAAAAAAAD4WQAA77u/PD94bWwgdmVyc2lvbj0iMS4wIiBlbmNvZGluZz0idXRmLTgiPz48TG9jYWxQYWNrYWdlTWV0YWRhdGFGaWxlIHhtbG5zOnhzZD0iaHR0cDovL3d3dy53My5vcmcvMjAwMS9YTUxTY2hlbWEiIHhtbG5zOnhzaT0iaHR0cDovL3d3dy53My5vcmcvMjAwMS9YTUxTY2hlbWEtaW5zdGFuY2UiPjxJdGVtcz48SXRlbT48SXRlbUxvY2F0aW9uPjxJdGVtVHlwZT5Gb3JtdWxhPC9JdGVtVHlwZT48SXRlbVBhdGg+U2VjdGlvbjEvZXhwZXJpbWVudF9yZXN1bHRzPC9JdGVtUGF0aD48L0l0ZW1Mb2NhdGlvbj48U3RhYmxlRW50cmllcz48RW50cnkgVHlwZT0iQWRkZWRUb0RhdGFNb2RlbCIgVmFsdWU9ImwwIiAvPjxFbnRyeSBUeXBlPSJOYW1lVXBkYXRlZEFmdGVyRmlsbCIgVmFsdWU9ImwwIiAvPjxFbnRyeSBUeXBlPSJGaWxsRW5hYmxlZCIgVmFsdWU9ImwwIiAvPjxFbnRyeSBUeXBlPSJGaWxsRXJyb3JDb2RlIiBWYWx1ZT0ic1Vua25vd24iIC8+PEVudHJ5IFR5cGU9IkZpbGxFcnJvckNvdW50IiBWYWx1ZT0ibDAiIC8+PEVudHJ5IFR5cGU9IkZpbGxMYXN0VXBkYXRlZCIgVmFsdWU9ImQyMDI2LTA1LTE1VDEwOjA3OjAzLjUwOTc0MzFaIiAvPjxFbnRyeSBUeXBlPSJGaWxsQ29sdW1uVHlwZXMiIFZhbHVlPSJzQXdZR0JnPT0iIC8+PEVudHJ5IFR5cGU9IkZpbGxDb2x1bW5OYW1lcyIgVmFsdWU9InNbJnF1b3Q7c2FtcGxlX2lkJnF1b3Q7LCZxdW90O2FsZ28mcXVvdDssJnF1b3Q7c3RyYXRlZ3kmcXVvdDssJnF1b3Q7Y29zdC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M2MmMwNWJjNy0wZTFjLTQ4NGMtYWY3Ny1lNTgwNGFkNzIyNGIiIC8+PEVudHJ5IFR5cGU9IlJlbGF0aW9uc2hpcEluZm9Db250YWluZXIiIFZhbHVlPSJzeyZxdW90O2NvbHVtbkNvdW50JnF1b3Q7OjQsJnF1b3Q7a2V5Q29sdW1uTmFtZXMmcXVvdDs6W10sJnF1b3Q7cXVlcnlSZWxhdGlvbnNoaXBzJnF1b3Q7OltdLCZxdW90O2NvbHVtbklkZW50aXRpZXMmcXVvdDs6WyZxdW90O1NlY3Rpb24xL2V4cGVyaW1lbnRfcmVzdWx0cy9BdXRvUmVtb3ZlZENvbHVtbnMxLntzYW1wbGVfaWQsMH0mcXVvdDssJnF1b3Q7U2VjdGlvbjEvZXhwZXJpbWVudF9yZXN1bHRzL0F1dG9SZW1vdmVkQ29sdW1uczEue2FsZ28sMX0mcXVvdDssJnF1b3Q7U2VjdGlvbjEvZXhwZXJpbWVudF9yZXN1bHRzL0F1dG9SZW1vdmVkQ29sdW1uczEue3N0cmF0ZWd5LDJ9JnF1b3Q7LCZxdW90O1NlY3Rpb24xL2V4cGVyaW1lbnRfcmVzdWx0cy9BdXRvUmVtb3ZlZENvbHVtbnMxLntjb3N0LDN9JnF1b3Q7XSwmcXVvdDtDb2x1bW5Db3VudCZxdW90Ozo0LCZxdW90O0tleUNvbHVtbk5hbWVzJnF1b3Q7OltdLCZxdW90O0NvbHVtbklkZW50aXRpZXMmcXVvdDs6WyZxdW90O1NlY3Rpb24xL2V4cGVyaW1lbnRfcmVzdWx0cy9BdXRvUmVtb3ZlZENvbHVtbnMxLntzYW1wbGVfaWQsMH0mcXVvdDssJnF1b3Q7U2VjdGlvbjEvZXhwZXJpbWVudF9yZXN1bHRzL0F1dG9SZW1vdmVkQ29sdW1uczEue2FsZ28sMX0mcXVvdDssJnF1b3Q7U2VjdGlvbjEvZXhwZXJpbWVudF9yZXN1bHRzL0F1dG9SZW1vdmVkQ29sdW1uczEue3N0cmF0ZWd5LDJ9JnF1b3Q7LCZxdW90O1NlY3Rpb24xL2V4cGVyaW1lbnRfcmVzdWx0cy9BdXRvUmVtb3ZlZENvbHVtbnMxLntjb3N0LDN9JnF1b3Q7XSwmcXVvdDtSZWxhdGlvbnNoaXBJbmZvJnF1b3Q7OltdfSIgLz48RW50cnkgVHlwZT0iUmVzdWx0VHlwZSIgVmFsdWU9InNFeGNlcHRpb24iIC8+PEVudHJ5IFR5cGU9IkZpbGxPYmplY3RUeXBlIiBWYWx1ZT0ic0Nvbm5lY3Rpb25Pbmx5IiAvPjxFbnRyeSBUeXBlPSJCdWZmZXJOZXh0UmVmcmVzaCIgVmFsdWU9ImwxIiAvPjwvU3RhYmxlRW50cmllcz48L0l0ZW0+PEl0ZW0+PEl0ZW1Mb2NhdGlvbj48SXRlbVR5cGU+Rm9ybXVsYTwvSXRlbVR5cGU+PEl0ZW1QYXRoPlNlY3Rpb24xL3N0cmF0ZWd5X3dpbl9tYXRyaXg8L0l0ZW1QYXRoPjwvSXRlbUxvY2F0aW9uPjxTdGFibGVFbnRyaWVzPjxFbnRyeSBUeXBlPSJBZGRlZFRvRGF0YU1vZGVsIiBWYWx1ZT0ibDAiIC8+PEVudHJ5IFR5cGU9Ik5hbWVVcGRhdGVkQWZ0ZXJGaWxsIiBWYWx1ZT0ibDAiIC8+PEVudHJ5IFR5cGU9IkZpbGxFbmFibGVkIiBWYWx1ZT0ibDAiIC8+PEVudHJ5IFR5cGU9IkZpbGxFcnJvckNvZGUiIFZhbHVlPSJzVW5rbm93biIgLz48RW50cnkgVHlwZT0iRmlsbEVycm9yQ291bnQiIFZhbHVlPSJsMCIgLz48RW50cnkgVHlwZT0iRmlsbExhc3RVcGRhdGVkIiBWYWx1ZT0iZDIwMjYtMDUtMTVUMTA6MzA6MTQuNTU5NjkzNVoiIC8+PEVudHJ5IFR5cGU9IkZpbGxDb2x1bW5UeXBlcyIgVmFsdWU9InNCZ01EQXdNRCIgLz48RW50cnkgVHlwZT0iRmlsbENvbHVtbk5hbWVzIiBWYWx1ZT0ic1smcXVvdDtzdHJhdGVneSZxdW90OywmcXVvdDtncmVlZHlfMCZxdW90OywmcXVvdDtncmVlZHlfMSZxdW90OywmcXVvdDtncmVlZHlfMiZxdW90OywmcXVvdDtncmVlZHlfMyZxdW90OywmcXVvdDtzaGVsZi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MxOWMzNGZhMC1lMTY3LTRiZjItOGNmNC1jODcxYzI2MmJlZDUiIC8+PEVudHJ5IFR5cGU9IlJlbGF0aW9uc2hpcEluZm9Db250YWluZXIiIFZhbHVlPSJzeyZxdW90O2NvbHVtbkNvdW50JnF1b3Q7OjYsJnF1b3Q7a2V5Q29sdW1uTmFtZXMmcXVvdDs6W10sJnF1b3Q7cXVlcnlSZWxhdGlvbnNoaXBzJnF1b3Q7OltdLCZxdW90O2NvbHVtbklkZW50aXRpZXMmcXVvdDs6WyZxdW90O1NlY3Rpb24xL3N0cmF0ZWd5X3dpbl9tYXRyaXgvQXV0b1JlbW92ZWRDb2x1bW5zMS57c3RyYXRlZ3ksMH0mcXVvdDssJnF1b3Q7U2VjdGlvbjEvc3RyYXRlZ3lfd2luX21hdHJpeC9BdXRvUmVtb3ZlZENvbHVtbnMxLntncmVlZHlfMCwxfSZxdW90OywmcXVvdDtTZWN0aW9uMS9zdHJhdGVneV93aW5fbWF0cml4L0F1dG9SZW1vdmVkQ29sdW1uczEue2dyZWVkeV8xLDJ9JnF1b3Q7LCZxdW90O1NlY3Rpb24xL3N0cmF0ZWd5X3dpbl9tYXRyaXgvQXV0b1JlbW92ZWRDb2x1bW5zMS57Z3JlZWR5XzIsM30mcXVvdDssJnF1b3Q7U2VjdGlvbjEvc3RyYXRlZ3lfd2luX21hdHJpeC9BdXRvUmVtb3ZlZENvbHVtbnMxLntncmVlZHlfMyw0fSZxdW90OywmcXVvdDtTZWN0aW9uMS9zdHJhdGVneV93aW5fbWF0cml4L0F1dG9SZW1vdmVkQ29sdW1uczEue3NoZWxmLDV9JnF1b3Q7XSwmcXVvdDtDb2x1bW5Db3VudCZxdW90Ozo2LCZxdW90O0tleUNvbHVtbk5hbWVzJnF1b3Q7OltdLCZxdW90O0NvbHVtbklkZW50aXRpZXMmcXVvdDs6WyZxdW90O1NlY3Rpb24xL3N0cmF0ZWd5X3dpbl9tYXRyaXgvQXV0b1JlbW92ZWRDb2x1bW5zMS57c3RyYXRlZ3ksMH0mcXVvdDssJnF1b3Q7U2VjdGlvbjEvc3RyYXRlZ3lfd2luX21hdHJpeC9BdXRvUmVtb3ZlZENvbHVtbnMxLntncmVlZHlfMCwxfSZxdW90OywmcXVvdDtTZWN0aW9uMS9zdHJhdGVneV93aW5fbWF0cml4L0F1dG9SZW1vdmVkQ29sdW1uczEue2dyZWVkeV8xLDJ9JnF1b3Q7LCZxdW90O1NlY3Rpb24xL3N0cmF0ZWd5X3dpbl9tYXRyaXgvQXV0b1JlbW92ZWRDb2x1bW5zMS57Z3JlZWR5XzIsM30mcXVvdDssJnF1b3Q7U2VjdGlvbjEvc3RyYXRlZ3lfd2luX21hdHJpeC9BdXRvUmVtb3ZlZENvbHVtbnMxLntncmVlZHlfMyw0fSZxdW90OywmcXVvdDtTZWN0aW9uMS9zdHJhdGVneV93aW5fbWF0cml4L0F1dG9SZW1vdmVkQ29sdW1uczEue3NoZWxmLDV9JnF1b3Q7XSwmcXVvdDtSZWxhdGlvbnNoaXBJbmZvJnF1b3Q7OltdfSIgLz48RW50cnkgVHlwZT0iUmVzdWx0VHlwZSIgVmFsdWU9InNFeGNlcHRpb24iIC8+PEVudHJ5IFR5cGU9IkZpbGxPYmplY3RUeXBlIiBWYWx1ZT0ic0Nvbm5lY3Rpb25Pbmx5IiAvPjxFbnRyeSBUeXBlPSJCdWZmZXJOZXh0UmVmcmVzaCIgVmFsdWU9ImwxIiAvPjwvU3RhYmxlRW50cmllcz48L0l0ZW0+PEl0ZW0+PEl0ZW1Mb2NhdGlvbj48SXRlbVR5cGU+Rm9ybXVsYTwvSXRlbVR5cGU+PEl0ZW1QYXRoPlNlY3Rpb24xL2V4cGVyaW1lbnRfcmVzdWx0cyUyMCgyKTwvSXRlbVBhdGg+PC9JdGVtTG9jYXRpb24+PFN0YWJsZUVudHJpZXM+PEVudHJ5IFR5cGU9IkFkZGVkVG9EYXRhTW9kZWwiIFZhbHVlPSJsMCIgLz48RW50cnkgVHlwZT0iTmFtZVVwZGF0ZWRBZnRlckZpbGwiIFZhbHVlPSJsMCIgLz48RW50cnkgVHlwZT0iRmlsbEVuYWJsZWQiIFZhbHVlPSJsMCIgLz48RW50cnkgVHlwZT0iRmlsbEVycm9yQ29kZSIgVmFsdWU9InNVbmtub3duIiAvPjxFbnRyeSBUeXBlPSJGaWxsRXJyb3JDb3VudCIgVmFsdWU9ImwwIiAvPjxFbnRyeSBUeXBlPSJGaWxsTGFzdFVwZGF0ZWQiIFZhbHVlPSJkMjAyNi0wNS0xNVQxMDo1MDozMS42NjcxNTI2WiIgLz48RW50cnkgVHlwZT0iRmlsbENvbHVtblR5cGVzIiBWYWx1ZT0ic0F3WUdCZz09IiAvPjxFbnRyeSBUeXBlPSJGaWxsQ29sdW1uTmFtZXMiIFZhbHVlPSJzWyZxdW90O3NhbXBsZV9pZCZxdW90OywmcXVvdDthbGdvJnF1b3Q7LCZxdW90O3N0cmF0ZWd5JnF1b3Q7LCZxdW90O2Nvc3QmcXVvdDtdIiAvPjxFbnRyeSBUeXBlPSJGaWxsZWRDb21wbGV0ZVJlc3VsdFRvV29ya3NoZWV0IiBWYWx1ZT0ibDEiIC8+PEVudHJ5IFR5cGU9IkZpbGxTdGF0dXMiIFZhbHVlPSJzQ29tcGxldGUiIC8+PEVudHJ5IFR5cGU9IkZpbGxUb0RhdGFNb2RlbEVuYWJsZWQiIFZhbHVlPSJsMCIgLz48RW50cnkgVHlwZT0iSXNQcml2YXRlIiBWYWx1ZT0ibDAiIC8+PEVudHJ5IFR5cGU9IlF1ZXJ5SUQiIFZhbHVlPSJzODNhMWUyOWMtNGRmYy00MDE4LWI0NGEtZmQ4MTZmNTJiYjhmIiAvPjxFbnRyeSBUeXBlPSJSZWxhdGlvbnNoaXBJbmZvQ29udGFpbmVyIiBWYWx1ZT0ic3smcXVvdDtjb2x1bW5Db3VudCZxdW90Ozo0LCZxdW90O2tleUNvbHVtbk5hbWVzJnF1b3Q7OltdLCZxdW90O3F1ZXJ5UmVsYXRpb25zaGlwcyZxdW90OzpbXSwmcXVvdDtjb2x1bW5JZGVudGl0aWVzJnF1b3Q7OlsmcXVvdDtTZWN0aW9uMS9leHBlcmltZW50X3Jlc3VsdHMgKDIpL0F1dG9SZW1vdmVkQ29sdW1uczEue3NhbXBsZV9pZCwwfSZxdW90OywmcXVvdDtTZWN0aW9uMS9leHBlcmltZW50X3Jlc3VsdHMgKDIpL0F1dG9SZW1vdmVkQ29sdW1uczEue2FsZ28sMX0mcXVvdDssJnF1b3Q7U2VjdGlvbjEvZXhwZXJpbWVudF9yZXN1bHRzICgyKS9BdXRvUmVtb3ZlZENvbHVtbnMxLntzdHJhdGVneSwyfSZxdW90OywmcXVvdDtTZWN0aW9uMS9leHBlcmltZW50X3Jlc3VsdHMgKDIpL0F1dG9SZW1vdmVkQ29sdW1uczEue2Nvc3QsM30mcXVvdDtdLCZxdW90O0NvbHVtbkNvdW50JnF1b3Q7OjQsJnF1b3Q7S2V5Q29sdW1uTmFtZXMmcXVvdDs6W10sJnF1b3Q7Q29sdW1uSWRlbnRpdGllcyZxdW90OzpbJnF1b3Q7U2VjdGlvbjEvZXhwZXJpbWVudF9yZXN1bHRzICgyKS9BdXRvUmVtb3ZlZENvbHVtbnMxLntzYW1wbGVfaWQsMH0mcXVvdDssJnF1b3Q7U2VjdGlvbjEvZXhwZXJpbWVudF9yZXN1bHRzICgyKS9BdXRvUmVtb3ZlZENvbHVtbnMxLnthbGdvLDF9JnF1b3Q7LCZxdW90O1NlY3Rpb24xL2V4cGVyaW1lbnRfcmVzdWx0cyAoMikvQXV0b1JlbW92ZWRDb2x1bW5zMS57c3RyYXRlZ3ksMn0mcXVvdDssJnF1b3Q7U2VjdGlvbjEvZXhwZXJpbWVudF9yZXN1bHRzICgyKS9BdXRvUmVtb3ZlZENvbHVtbnMxLntjb3N0LDN9JnF1b3Q7XSwmcXVvdDtSZWxhdGlvbnNoaXBJbmZvJnF1b3Q7OltdfSIgLz48RW50cnkgVHlwZT0iUmVzdWx0VHlwZSIgVmFsdWU9InNFeGNlcHRpb24iIC8+PEVudHJ5IFR5cGU9IkZpbGxPYmplY3RUeXBlIiBWYWx1ZT0ic0Nvbm5lY3Rpb25Pbmx5IiAvPjxFbnRyeSBUeXBlPSJCdWZmZXJOZXh0UmVmcmVzaCIgVmFsdWU9ImwxIiAvPjwvU3RhYmxlRW50cmllcz48L0l0ZW0+PEl0ZW0+PEl0ZW1Mb2NhdGlvbj48SXRlbVR5cGU+Rm9ybXVsYTwvSXRlbVR5cGU+PEl0ZW1QYXRoPlNlY3Rpb24xL3N0cmF0ZWd5X3dpbl9tYXRyaXglMjAoMik8L0l0ZW1QYXRoPjwvSXRlbUxvY2F0aW9uPjxTdGFibGVFbnRyaWVzPjxFbnRyeSBUeXBlPSJBZGRlZFRvRGF0YU1vZGVsIiBWYWx1ZT0ibDAiIC8+PEVudHJ5IFR5cGU9Ik5hbWVVcGRhdGVkQWZ0ZXJGaWxsIiBWYWx1ZT0ibDAiIC8+PEVudHJ5IFR5cGU9IkZpbGxFbmFibGVkIiBWYWx1ZT0ibDAiIC8+PEVudHJ5IFR5cGU9IkZpbGxFcnJvckNvZGUiIFZhbHVlPSJzVW5rbm93biIgLz48RW50cnkgVHlwZT0iRmlsbEVycm9yQ291bnQiIFZhbHVlPSJsMCIgLz48RW50cnkgVHlwZT0iRmlsbExhc3RVcGRhdGVkIiBWYWx1ZT0iZDIwMjYtMDUtMTVUMTA6NTE6MTUuMDk5ODczMVoiIC8+PEVudHJ5IFR5cGU9IkZpbGxDb2x1bW5UeXBlcyIgVmFsdWU9InNCZ01EQXdNRCIgLz48RW50cnkgVHlwZT0iRmlsbENvbHVtbk5hbWVzIiBWYWx1ZT0ic1smcXVvdDtzdHJhdGVneSZxdW90OywmcXVvdDtncmVlZHlfMCZxdW90OywmcXVvdDtncmVlZHlfMSZxdW90OywmcXVvdDtncmVlZHlfMiZxdW90OywmcXVvdDtncmVlZHlfMyZxdW90OywmcXVvdDtzaGVsZiZxdW90O10iIC8+PEVudHJ5IFR5cGU9IkZpbGxlZENvbXBsZXRlUmVzdWx0VG9Xb3Jrc2hlZXQiIFZhbHVlPSJsMSIgLz48RW50cnkgVHlwZT0iRmlsbFN0YXR1cyIgVmFsdWU9InNDb21wbGV0ZSIgLz48RW50cnkgVHlwZT0iRmlsbFRvRGF0YU1vZGVsRW5hYmxlZCIgVmFsdWU9ImwwIiAvPjxFbnRyeSBUeXBlPSJJc1ByaXZhdGUiIFZhbHVlPSJsMCIgLz48RW50cnkgVHlwZT0iUXVlcnlJRCIgVmFsdWU9InNmMzRmY2I1Ny05OWVkLTRkNjItYmYyMS1iZWZjOWZmMWJiYzAiIC8+PEVudHJ5IFR5cGU9IlJlbGF0aW9uc2hpcEluZm9Db250YWluZXIiIFZhbHVlPSJzeyZxdW90O2NvbHVtbkNvdW50JnF1b3Q7OjYsJnF1b3Q7a2V5Q29sdW1uTmFtZXMmcXVvdDs6W10sJnF1b3Q7cXVlcnlSZWxhdGlvbnNoaXBzJnF1b3Q7OltdLCZxdW90O2NvbHVtbklkZW50aXRpZXMmcXVvdDs6WyZxdW90O1NlY3Rpb24xL3N0cmF0ZWd5X3dpbl9tYXRyaXggKDIpL0F1dG9SZW1vdmVkQ29sdW1uczEue3N0cmF0ZWd5LDB9JnF1b3Q7LCZxdW90O1NlY3Rpb24xL3N0cmF0ZWd5X3dpbl9tYXRyaXggKDIpL0F1dG9SZW1vdmVkQ29sdW1uczEue2dyZWVkeV8wLDF9JnF1b3Q7LCZxdW90O1NlY3Rpb24xL3N0cmF0ZWd5X3dpbl9tYXRyaXggKDIpL0F1dG9SZW1vdmVkQ29sdW1uczEue2dyZWVkeV8xLDJ9JnF1b3Q7LCZxdW90O1NlY3Rpb24xL3N0cmF0ZWd5X3dpbl9tYXRyaXggKDIpL0F1dG9SZW1vdmVkQ29sdW1uczEue2dyZWVkeV8yLDN9JnF1b3Q7LCZxdW90O1NlY3Rpb24xL3N0cmF0ZWd5X3dpbl9tYXRyaXggKDIpL0F1dG9SZW1vdmVkQ29sdW1uczEue2dyZWVkeV8zLDR9JnF1b3Q7LCZxdW90O1NlY3Rpb24xL3N0cmF0ZWd5X3dpbl9tYXRyaXggKDIpL0F1dG9SZW1vdmVkQ29sdW1uczEue3NoZWxmLDV9JnF1b3Q7XSwmcXVvdDtDb2x1bW5Db3VudCZxdW90Ozo2LCZxdW90O0tleUNvbHVtbk5hbWVzJnF1b3Q7OltdLCZxdW90O0NvbHVtbklkZW50aXRpZXMmcXVvdDs6WyZxdW90O1NlY3Rpb24xL3N0cmF0ZWd5X3dpbl9tYXRyaXggKDIpL0F1dG9SZW1vdmVkQ29sdW1uczEue3N0cmF0ZWd5LDB9JnF1b3Q7LCZxdW90O1NlY3Rpb24xL3N0cmF0ZWd5X3dpbl9tYXRyaXggKDIpL0F1dG9SZW1vdmVkQ29sdW1uczEue2dyZWVkeV8wLDF9JnF1b3Q7LCZxdW90O1NlY3Rpb24xL3N0cmF0ZWd5X3dpbl9tYXRyaXggKDIpL0F1dG9SZW1vdmVkQ29sdW1uczEue2dyZWVkeV8xLDJ9JnF1b3Q7LCZxdW90O1NlY3Rpb24xL3N0cmF0ZWd5X3dpbl9tYXRyaXggKDIpL0F1dG9SZW1vdmVkQ29sdW1uczEue2dyZWVkeV8yLDN9JnF1b3Q7LCZxdW90O1NlY3Rpb24xL3N0cmF0ZWd5X3dpbl9tYXRyaXggKDIpL0F1dG9SZW1vdmVkQ29sdW1uczEue2dyZWVkeV8zLDR9JnF1b3Q7LCZxdW90O1NlY3Rpb24xL3N0cmF0ZWd5X3dpbl9tYXRyaXggKDIpL0F1dG9SZW1vdmVkQ29sdW1uczEue3NoZWxmLDV9JnF1b3Q7XSwmcXVvdDtSZWxhdGlvbnNoaXBJbmZvJnF1b3Q7OltdfSIgLz48RW50cnkgVHlwZT0iUmVzdWx0VHlwZSIgVmFsdWU9InNFeGNlcHRpb24iIC8+PEVudHJ5IFR5cGU9IkZpbGxPYmplY3RUeXBlIiBWYWx1ZT0ic0Nvbm5lY3Rpb25Pbmx5IiAvPjxFbnRyeSBUeXBlPSJCdWZmZXJOZXh0UmVmcmVzaCIgVmFsdWU9ImwxIiAvPjwvU3RhYmxlRW50cmllcz48L0l0ZW0+PEl0ZW0+PEl0ZW1Mb2NhdGlvbj48SXRlbVR5cGU+Rm9ybXVsYTwvSXRlbVR5cGU+PEl0ZW1QYXRoPlNlY3Rpb24xL2V4cGVyaW1lbnRfcmVzdWx0cy9Gb3JyJUMzJUExczwvSXRlbVBhdGg+PC9JdGVtTG9jYXRpb24+PFN0YWJsZUVudHJpZXMgLz48L0l0ZW0+PEl0ZW0+PEl0ZW1Mb2NhdGlvbj48SXRlbVR5cGU+Rm9ybXVsYTwvSXRlbVR5cGU+PEl0ZW1QYXRoPlNlY3Rpb24xL2V4cGVyaW1lbnRfcmVzdWx0cy9FbCVDNSU5MWwlQzMlQTlwdGV0ZXR0JTIwZmVqbCVDMyVBOWNlazwvSXRlbVBhdGg+PC9JdGVtTG9jYXRpb24+PFN0YWJsZUVudHJpZXMgLz48L0l0ZW0+PEl0ZW0+PEl0ZW1Mb2NhdGlvbj48SXRlbVR5cGU+Rm9ybXVsYTwvSXRlbVR5cGU+PEl0ZW1QYXRoPlNlY3Rpb24xL2V4cGVyaW1lbnRfcmVzdWx0cy9UJUMzJUFEcHVzJTIwbSVDMyVCM2RvcyVDMyVBRHR2YTwvSXRlbVBhdGg+PC9JdGVtTG9jYXRpb24+PFN0YWJsZUVudHJpZXMgLz48L0l0ZW0+PEl0ZW0+PEl0ZW1Mb2NhdGlvbj48SXRlbVR5cGU+Rm9ybXVsYTwvSXRlbVR5cGU+PEl0ZW1QYXRoPlNlY3Rpb24xL3N0cmF0ZWd5X3dpbl9tYXRyaXgvRm9yciVDMyVBMXM8L0l0ZW1QYXRoPjwvSXRlbUxvY2F0aW9uPjxTdGFibGVFbnRyaWVzIC8+PC9JdGVtPjxJdGVtPjxJdGVtTG9jYXRpb24+PEl0ZW1UeXBlPkZvcm11bGE8L0l0ZW1UeXBlPjxJdGVtUGF0aD5TZWN0aW9uMS9zdHJhdGVneV93aW5fbWF0cml4L0VsJUM1JTkxbCVDMyVBOXB0ZXRldHQlMjBmZWpsJUMzJUE5Y2VrPC9JdGVtUGF0aD48L0l0ZW1Mb2NhdGlvbj48U3RhYmxlRW50cmllcyAvPjwvSXRlbT48SXRlbT48SXRlbUxvY2F0aW9uPjxJdGVtVHlwZT5Gb3JtdWxhPC9JdGVtVHlwZT48SXRlbVBhdGg+U2VjdGlvbjEvc3RyYXRlZ3lfd2luX21hdHJpeC9UJUMzJUFEcHVzJTIwbSVDMyVCM2RvcyVDMyVBRHR2YTwvSXRlbVBhdGg+PC9JdGVtTG9jYXRpb24+PFN0YWJsZUVudHJpZXMgLz48L0l0ZW0+PEl0ZW0+PEl0ZW1Mb2NhdGlvbj48SXRlbVR5cGU+Rm9ybXVsYTwvSXRlbVR5cGU+PEl0ZW1QYXRoPlNlY3Rpb24xL2V4cGVyaW1lbnRfcmVzdWx0cyUyMCgyKS9Gb3JyJUMzJUExczwvSXRlbVBhdGg+PC9JdGVtTG9jYXRpb24+PFN0YWJsZUVudHJpZXMgLz48L0l0ZW0+PEl0ZW0+PEl0ZW1Mb2NhdGlvbj48SXRlbVR5cGU+Rm9ybXVsYTwvSXRlbVR5cGU+PEl0ZW1QYXRoPlNlY3Rpb24xL2V4cGVyaW1lbnRfcmVzdWx0cyUyMCgyKS9FbCVDNSU5MWwlQzMlQTlwdGV0ZXR0JTIwZmVqbCVDMyVBOWNlazwvSXRlbVBhdGg+PC9JdGVtTG9jYXRpb24+PFN0YWJsZUVudHJpZXMgLz48L0l0ZW0+PEl0ZW0+PEl0ZW1Mb2NhdGlvbj48SXRlbVR5cGU+Rm9ybXVsYTwvSXRlbVR5cGU+PEl0ZW1QYXRoPlNlY3Rpb24xL2V4cGVyaW1lbnRfcmVzdWx0cyUyMCgyKS9UJUMzJUFEcHVzJTIwbSVDMyVCM2RvcyVDMyVBRHR2YTwvSXRlbVBhdGg+PC9JdGVtTG9jYXRpb24+PFN0YWJsZUVudHJpZXMgLz48L0l0ZW0+PEl0ZW0+PEl0ZW1Mb2NhdGlvbj48SXRlbVR5cGU+Rm9ybXVsYTwvSXRlbVR5cGU+PEl0ZW1QYXRoPlNlY3Rpb24xL3N0cmF0ZWd5X3dpbl9tYXRyaXglMjAoMikvRm9yciVDMyVBMXM8L0l0ZW1QYXRoPjwvSXRlbUxvY2F0aW9uPjxTdGFibGVFbnRyaWVzIC8+PC9JdGVtPjxJdGVtPjxJdGVtTG9jYXRpb24+PEl0ZW1UeXBlPkZvcm11bGE8L0l0ZW1UeXBlPjxJdGVtUGF0aD5TZWN0aW9uMS9zdHJhdGVneV93aW5fbWF0cml4JTIwKDIpL0VsJUM1JTkxbCVDMyVBOXB0ZXRldHQlMjBmZWpsJUMzJUE5Y2VrPC9JdGVtUGF0aD48L0l0ZW1Mb2NhdGlvbj48U3RhYmxlRW50cmllcyAvPjwvSXRlbT48SXRlbT48SXRlbUxvY2F0aW9uPjxJdGVtVHlwZT5Gb3JtdWxhPC9JdGVtVHlwZT48SXRlbVBhdGg+U2VjdGlvbjEvc3RyYXRlZ3lfd2luX21hdHJpeCUyMCgyKS9UJUMzJUFEcHVzJTIwbSVDMyVCM2RvcyVDMyVBRHR2YTwvSXRlbVBhdGg+PC9JdGVtTG9jYXRpb24+PFN0YWJsZUVudHJpZXMgLz48L0l0ZW0+PEl0ZW0+PEl0ZW1Mb2NhdGlvbj48SXRlbVR5cGU+QWxsRm9ybXVsYXM8L0l0ZW1UeXBlPjxJdGVtUGF0aCAvPjwvSXRlbUxvY2F0aW9uPjxTdGFibGVFbnRyaWVzIC8+PC9JdGVtPjxJdGVtPjxJdGVtTG9jYXRpb24+PEl0ZW1UeXBlPkZvcm11bGE8L0l0ZW1UeXBlPjxJdGVtUGF0aD5TZWN0aW9uMS9yZXN1bHRzX21hdHJpeDwvSXRlbVBhdGg+PC9JdGVtTG9jYXRpb24+PFN0YWJsZUVudHJpZXM+PEVudHJ5IFR5cGU9IklzUHJpdmF0ZSIgVmFsdWU9ImwwIiAvPjxFbnRyeSBUeXBlPSJGaWxsRW5hYmxlZCIgVmFsdWU9ImwxIiAvPjxFbnRyeSBUeXBlPSJGaWxsT2JqZWN0VHlwZSIgVmFsdWU9InNUYWJsZSIgLz48RW50cnkgVHlwZT0iRmlsbFRvRGF0YU1vZGVsRW5hYmxlZCIgVmFsdWU9ImwwIiAvPjxFbnRyeSBUeXBlPSJRdWVyeUlEIiBWYWx1ZT0iczVmMGIzNjVlLWU0ODYtNGMzOC04MTkwLTAxYjAwYzkxNTY1OSIgLz48RW50cnkgVHlwZT0iQnVmZmVyTmV4dFJlZnJlc2giIFZhbHVlPSJsMSIgLz48RW50cnkgVHlwZT0iUmVzdWx0VHlwZSIgVmFsdWU9InNUYWJsZSIgLz48RW50cnkgVHlwZT0iTmFtZVVwZGF0ZWRBZnRlckZpbGwiIFZhbHVlPSJsMCIgLz48RW50cnkgVHlwZT0iRmlsbFRhcmdldCIgVmFsdWU9InNyZXN1bHRzX21hdHJpeCIgLz48RW50cnkgVHlwZT0iRmlsbGVkQ29tcGxldGVSZXN1bHRUb1dvcmtzaGVldCIgVmFsdWU9ImwxIiAvPjxFbnRyeSBUeXBlPSJBZGRlZFRvRGF0YU1vZGVsIiBWYWx1ZT0ibDAiIC8+PEVudHJ5IFR5cGU9IkZpbGxDb3VudCIgVmFsdWU9Imw5IiAvPjxFbnRyeSBUeXBlPSJGaWxsRXJyb3JDb2RlIiBWYWx1ZT0ic1Vua25vd24iIC8+PEVudHJ5IFR5cGU9IkZpbGxFcnJvckNvdW50IiBWYWx1ZT0ibDAiIC8+PEVudHJ5IFR5cGU9IkZpbGxMYXN0VXBkYXRlZCIgVmFsdWU9ImQyMDI2LTA1LTE5VDIzOjIzOjEyLjM3MjQzODlaIiAvPjxFbnRyeSBUeXBlPSJGaWxsQ29sdW1uVHlwZXMiIFZhbHVlPSJzQmdNREF3TURBdz09IiAvPjxFbnRyeSBUeXBlPSJGaWxsQ29sdW1uTmFtZXMiIFZhbHVlPSJzWyZxdW90O3N0cmF0ZWd5JnF1b3Q7LCZxdW90O2V4dHJlbWVfcG9pbnRzJnF1b3Q7LCZxdW90O2dyZWVkeV9maXJzdF9maXQmcXVvdDssJnF1b3Q7Z3JlZWR5X2xhcmdlc19mYWNlX3VwJnF1b3Q7LCZxdW90O2dyZWVkeV9taW5fc3VtX3NsYWNrJnF1b3Q7LCZxdW90O2dyZWVkeV9ub19yb3RhdGlvbiZxdW90OywmcXVvdDtzaGVsZiZxdW90O10iIC8+PEVudHJ5IFR5cGU9IkZpbGxTdGF0dXMiIFZhbHVlPSJzQ29tcGxldGUiIC8+PEVudHJ5IFR5cGU9IlJlbGF0aW9uc2hpcEluZm9Db250YWluZXIiIFZhbHVlPSJzeyZxdW90O2NvbHVtbkNvdW50JnF1b3Q7OjcsJnF1b3Q7a2V5Q29sdW1uTmFtZXMmcXVvdDs6W10sJnF1b3Q7cXVlcnlSZWxhdGlvbnNoaXBzJnF1b3Q7OltdLCZxdW90O2NvbHVtbklkZW50aXRpZXMmcXVvdDs6WyZxdW90O1NlY3Rpb24xL3Jlc3VsdHNfbWF0cml4L0F1dG9SZW1vdmVkQ29sdW1uczEue3N0cmF0ZWd5LDB9JnF1b3Q7LCZxdW90O1NlY3Rpb24xL3Jlc3VsdHNfbWF0cml4L0F1dG9SZW1vdmVkQ29sdW1uczEue2V4dHJlbWVfcG9pbnRzLDF9JnF1b3Q7LCZxdW90O1NlY3Rpb24xL3Jlc3VsdHNfbWF0cml4L0F1dG9SZW1vdmVkQ29sdW1uczEue2dyZWVkeV9maXJzdF9maXQsMn0mcXVvdDssJnF1b3Q7U2VjdGlvbjEvcmVzdWx0c19tYXRyaXgvQXV0b1JlbW92ZWRDb2x1bW5zMS57Z3JlZWR5X2xhcmdlc19mYWNlX3VwLDN9JnF1b3Q7LCZxdW90O1NlY3Rpb24xL3Jlc3VsdHNfbWF0cml4L0F1dG9SZW1vdmVkQ29sdW1uczEue2dyZWVkeV9taW5fc3VtX3NsYWNrLDR9JnF1b3Q7LCZxdW90O1NlY3Rpb24xL3Jlc3VsdHNfbWF0cml4L0F1dG9SZW1vdmVkQ29sdW1uczEue2dyZWVkeV9ub19yb3RhdGlvbiw1fSZxdW90OywmcXVvdDtTZWN0aW9uMS9yZXN1bHRzX21hdHJpeC9BdXRvUmVtb3ZlZENvbHVtbnMxLntzaGVsZiw2fSZxdW90O10sJnF1b3Q7Q29sdW1uQ291bnQmcXVvdDs6NywmcXVvdDtLZXlDb2x1bW5OYW1lcyZxdW90OzpbXSwmcXVvdDtDb2x1bW5JZGVudGl0aWVzJnF1b3Q7OlsmcXVvdDtTZWN0aW9uMS9yZXN1bHRzX21hdHJpeC9BdXRvUmVtb3ZlZENvbHVtbnMxLntzdHJhdGVneSwwfSZxdW90OywmcXVvdDtTZWN0aW9uMS9yZXN1bHRzX21hdHJpeC9BdXRvUmVtb3ZlZENvbHVtbnMxLntleHRyZW1lX3BvaW50cywxfSZxdW90OywmcXVvdDtTZWN0aW9uMS9yZXN1bHRzX21hdHJpeC9BdXRvUmVtb3ZlZENvbHVtbnMxLntncmVlZHlfZmlyc3RfZml0LDJ9JnF1b3Q7LCZxdW90O1NlY3Rpb24xL3Jlc3VsdHNfbWF0cml4L0F1dG9SZW1vdmVkQ29sdW1uczEue2dyZWVkeV9sYXJnZXNfZmFjZV91cCwzfSZxdW90OywmcXVvdDtTZWN0aW9uMS9yZXN1bHRzX21hdHJpeC9BdXRvUmVtb3ZlZENvbHVtbnMxLntncmVlZHlfbWluX3N1bV9zbGFjayw0fSZxdW90OywmcXVvdDtTZWN0aW9uMS9yZXN1bHRzX21hdHJpeC9BdXRvUmVtb3ZlZENvbHVtbnMxLntncmVlZHlfbm9fcm90YXRpb24sNX0mcXVvdDssJnF1b3Q7U2VjdGlvbjEvcmVzdWx0c19tYXRyaXgvQXV0b1JlbW92ZWRDb2x1bW5zMS57c2hlbGYsNn0mcXVvdDtdLCZxdW90O1JlbGF0aW9uc2hpcEluZm8mcXVvdDs6W119IiAvPjwvU3RhYmxlRW50cmllcz48L0l0ZW0+PEl0ZW0+PEl0ZW1Mb2NhdGlvbj48SXRlbVR5cGU+Rm9ybXVsYTwvSXRlbVR5cGU+PEl0ZW1QYXRoPlNlY3Rpb24xL3Jlc3VsdHNfbWF0cml4L0ZvcnIlQzMlQTFzPC9JdGVtUGF0aD48L0l0ZW1Mb2NhdGlvbj48U3RhYmxlRW50cmllcyAvPjwvSXRlbT48SXRlbT48SXRlbUxvY2F0aW9uPjxJdGVtVHlwZT5Gb3JtdWxhPC9JdGVtVHlwZT48SXRlbVBhdGg+U2VjdGlvbjEvcmVzdWx0c19tYXRyaXgvRWwlQzUlOTFsJUMzJUE5cHRldGV0dCUyMGZlamwlQzMlQTljZWs8L0l0ZW1QYXRoPjwvSXRlbUxvY2F0aW9uPjxTdGFibGVFbnRyaWVzIC8+PC9JdGVtPjxJdGVtPjxJdGVtTG9jYXRpb24+PEl0ZW1UeXBlPkZvcm11bGE8L0l0ZW1UeXBlPjxJdGVtUGF0aD5TZWN0aW9uMS9yZXN1bHRzX21hdHJpeC9UJUMzJUFEcHVzJTIwbSVDMyVCM2RvcyVDMyVBRHR2YTwvSXRlbVBhdGg+PC9JdGVtTG9jYXRpb24+PFN0YWJsZUVudHJpZXMgLz48L0l0ZW0+PEl0ZW0+PEl0ZW1Mb2NhdGlvbj48SXRlbVR5cGU+Rm9ybXVsYTwvSXRlbVR5cGU+PEl0ZW1QYXRoPlNlY3Rpb24xL3Jlc3VsdHNfbWF0cml4JTIwKDIpPC9JdGVtUGF0aD48L0l0ZW1Mb2NhdGlvbj48U3RhYmxlRW50cmllcz48RW50cnkgVHlwZT0iSXNQcml2YXRlIiBWYWx1ZT0ibDAiIC8+PEVudHJ5IFR5cGU9IkZpbGxFbmFibGVkIiBWYWx1ZT0ibDEiIC8+PEVudHJ5IFR5cGU9IkZpbGxPYmplY3RUeXBlIiBWYWx1ZT0ic1RhYmxlIiAvPjxFbnRyeSBUeXBlPSJGaWxsVG9EYXRhTW9kZWxFbmFibGVkIiBWYWx1ZT0ibDAiIC8+PEVudHJ5IFR5cGU9IlF1ZXJ5SUQiIFZhbHVlPSJzMGYyMmNhMmUtZGViNS00MWMwLWExN2ItMGNmNDYyODA0MGFlIiAvPjxFbnRyeSBUeXBlPSJCdWZmZXJOZXh0UmVmcmVzaCIgVmFsdWU9ImwxIiAvPjxFbnRyeSBUeXBlPSJSZXN1bHRUeXBlIiBWYWx1ZT0ic1RhYmxlIiAvPjxFbnRyeSBUeXBlPSJOYW1lVXBkYXRlZEFmdGVyRmlsbCIgVmFsdWU9ImwwIiAvPjxFbnRyeSBUeXBlPSJGaWxsVGFyZ2V0IiBWYWx1ZT0ic3Jlc3VsdHNfbWF0cml4X18yIiAvPjxFbnRyeSBUeXBlPSJGaWxsZWRDb21wbGV0ZVJlc3VsdFRvV29ya3NoZWV0IiBWYWx1ZT0ibDEiIC8+PEVudHJ5IFR5cGU9IkFkZGVkVG9EYXRhTW9kZWwiIFZhbHVlPSJsMCIgLz48RW50cnkgVHlwZT0iRmlsbENvdW50IiBWYWx1ZT0ibDkiIC8+PEVudHJ5IFR5cGU9IkZpbGxFcnJvckNvZGUiIFZhbHVlPSJzVW5rbm93biIgLz48RW50cnkgVHlwZT0iRmlsbEVycm9yQ291bnQiIFZhbHVlPSJsMCIgLz48RW50cnkgVHlwZT0iRmlsbExhc3RVcGRhdGVkIiBWYWx1ZT0iZDIwMjYtMDUtMjBUMTY6NTE6MDAuMTc4MzU4MFoiIC8+PEVudHJ5IFR5cGU9IkZpbGxDb2x1bW5UeXBlcyIgVmFsdWU9InNCZ01EQXdNREF3PT0iIC8+PEVudHJ5IFR5cGU9IkZpbGxDb2x1bW5OYW1lcyIgVmFsdWU9InNbJnF1b3Q7c3RyYXRlZ3kmcXVvdDssJnF1b3Q7ZXh0cmVtZV9wb2ludHMmcXVvdDssJnF1b3Q7Z3JlZWR5X2ZpcnN0X2ZpdCZxdW90OywmcXVvdDtncmVlZHlfbGFyZ2VzX2ZhY2VfdXAmcXVvdDssJnF1b3Q7Z3JlZWR5X21pbl9zdW1fc2xhY2smcXVvdDssJnF1b3Q7Z3JlZWR5X25vX3JvdGF0aW9uJnF1b3Q7LCZxdW90O3NoZWxmJnF1b3Q7XSIgLz48RW50cnkgVHlwZT0iRmlsbFN0YXR1cyIgVmFsdWU9InNDb21wbGV0ZSIgLz48RW50cnkgVHlwZT0iUmVsYXRpb25zaGlwSW5mb0NvbnRhaW5lciIgVmFsdWU9InN7JnF1b3Q7Y29sdW1uQ291bnQmcXVvdDs6NywmcXVvdDtrZXlDb2x1bW5OYW1lcyZxdW90OzpbXSwmcXVvdDtxdWVyeVJlbGF0aW9uc2hpcHMmcXVvdDs6W10sJnF1b3Q7Y29sdW1uSWRlbnRpdGllcyZxdW90OzpbJnF1b3Q7U2VjdGlvbjEvcmVzdWx0c19tYXRyaXggKDIpL0F1dG9SZW1vdmVkQ29sdW1uczEue3N0cmF0ZWd5LDB9JnF1b3Q7LCZxdW90O1NlY3Rpb24xL3Jlc3VsdHNfbWF0cml4ICgyKS9BdXRvUmVtb3ZlZENvbHVtbnMxLntleHRyZW1lX3BvaW50cywxfSZxdW90OywmcXVvdDtTZWN0aW9uMS9yZXN1bHRzX21hdHJpeCAoMikvQXV0b1JlbW92ZWRDb2x1bW5zMS57Z3JlZWR5X2ZpcnN0X2ZpdCwyfSZxdW90OywmcXVvdDtTZWN0aW9uMS9yZXN1bHRzX21hdHJpeCAoMikvQXV0b1JlbW92ZWRDb2x1bW5zMS57Z3JlZWR5X2xhcmdlc19mYWNlX3VwLDN9JnF1b3Q7LCZxdW90O1NlY3Rpb24xL3Jlc3VsdHNfbWF0cml4ICgyKS9BdXRvUmVtb3ZlZENvbHVtbnMxLntncmVlZHlfbWluX3N1bV9zbGFjayw0fSZxdW90OywmcXVvdDtTZWN0aW9uMS9yZXN1bHRzX21hdHJpeCAoMikvQXV0b1JlbW92ZWRDb2x1bW5zMS57Z3JlZWR5X25vX3JvdGF0aW9uLDV9JnF1b3Q7LCZxdW90O1NlY3Rpb24xL3Jlc3VsdHNfbWF0cml4ICgyKS9BdXRvUmVtb3ZlZENvbHVtbnMxLntzaGVsZiw2fSZxdW90O10sJnF1b3Q7Q29sdW1uQ291bnQmcXVvdDs6NywmcXVvdDtLZXlDb2x1bW5OYW1lcyZxdW90OzpbXSwmcXVvdDtDb2x1bW5JZGVudGl0aWVzJnF1b3Q7OlsmcXVvdDtTZWN0aW9uMS9yZXN1bHRzX21hdHJpeCAoMikvQXV0b1JlbW92ZWRDb2x1bW5zMS57c3RyYXRlZ3ksMH0mcXVvdDssJnF1b3Q7U2VjdGlvbjEvcmVzdWx0c19tYXRyaXggKDIpL0F1dG9SZW1vdmVkQ29sdW1uczEue2V4dHJlbWVfcG9pbnRzLDF9JnF1b3Q7LCZxdW90O1NlY3Rpb24xL3Jlc3VsdHNfbWF0cml4ICgyKS9BdXRvUmVtb3ZlZENvbHVtbnMxLntncmVlZHlfZmlyc3RfZml0LDJ9JnF1b3Q7LCZxdW90O1NlY3Rpb24xL3Jlc3VsdHNfbWF0cml4ICgyKS9BdXRvUmVtb3ZlZENvbHVtbnMxLntncmVlZHlfbGFyZ2VzX2ZhY2VfdXAsM30mcXVvdDssJnF1b3Q7U2VjdGlvbjEvcmVzdWx0c19tYXRyaXggKDIpL0F1dG9SZW1vdmVkQ29sdW1uczEue2dyZWVkeV9taW5fc3VtX3NsYWNrLDR9JnF1b3Q7LCZxdW90O1NlY3Rpb24xL3Jlc3VsdHNfbWF0cml4ICgyKS9BdXRvUmVtb3ZlZENvbHVtbnMxLntncmVlZHlfbm9fcm90YXRpb24sNX0mcXVvdDssJnF1b3Q7U2VjdGlvbjEvcmVzdWx0c19tYXRyaXggKDIpL0F1dG9SZW1vdmVkQ29sdW1uczEue3NoZWxmLDZ9JnF1b3Q7XSwmcXVvdDtSZWxhdGlvbnNoaXBJbmZvJnF1b3Q7OltdfSIgLz48L1N0YWJsZUVudHJpZXM+PC9JdGVtPjxJdGVtPjxJdGVtTG9jYXRpb24+PEl0ZW1UeXBlPkZvcm11bGE8L0l0ZW1UeXBlPjxJdGVtUGF0aD5TZWN0aW9uMS9yZXN1bHRzX21hdHJpeCUyMCgyKS9Gb3JyJUMzJUExczwvSXRlbVBhdGg+PC9JdGVtTG9jYXRpb24+PFN0YWJsZUVudHJpZXMgLz48L0l0ZW0+PEl0ZW0+PEl0ZW1Mb2NhdGlvbj48SXRlbVR5cGU+Rm9ybXVsYTwvSXRlbVR5cGU+PEl0ZW1QYXRoPlNlY3Rpb24xL3Jlc3VsdHNfbWF0cml4JTIwKDIpL0VsJUM1JTkxbCVDMyVBOXB0ZXRldHQlMjBmZWpsJUMzJUE5Y2VrPC9JdGVtUGF0aD48L0l0ZW1Mb2NhdGlvbj48U3RhYmxlRW50cmllcyAvPjwvSXRlbT48SXRlbT48SXRlbUxvY2F0aW9uPjxJdGVtVHlwZT5Gb3JtdWxhPC9JdGVtVHlwZT48SXRlbVBhdGg+U2VjdGlvbjEvcmVzdWx0c19tYXRyaXglMjAoMikvVCVDMyVBRHB1cyUyMG0lQzMlQjNkb3MlQzMlQUR0dmE8L0l0ZW1QYXRoPjwvSXRlbUxvY2F0aW9uPjxTdGFibGVFbnRyaWVzIC8+PC9JdGVtPjxJdGVtPjxJdGVtTG9jYXRpb24+PEl0ZW1UeXBlPkZvcm11bGE8L0l0ZW1UeXBlPjxJdGVtUGF0aD5TZWN0aW9uMS9yZXN1bHRzX21hdHJpeCUyMCgzKTwvSXRlbVBhdGg+PC9JdGVtTG9jYXRpb24+PFN0YWJsZUVudHJpZXM+PEVudHJ5IFR5cGU9IklzUHJpdmF0ZSIgVmFsdWU9ImwwIiAvPjxFbnRyeSBUeXBlPSJGaWxsRW5hYmxlZCIgVmFsdWU9ImwwIiAvPjxFbnRyeSBUeXBlPSJGaWxsT2JqZWN0VHlwZSIgVmFsdWU9InNDb25uZWN0aW9uT25seSIgLz48RW50cnkgVHlwZT0iRmlsbFRvRGF0YU1vZGVsRW5hYmxlZCIgVmFsdWU9ImwwIiAvPjxFbnRyeSBUeXBlPSJRdWVyeUlEIiBWYWx1ZT0iczExMjNiNDY4LWViNTItNDA1ZS1hYjhjLTJlNTg3MjdiNjllZiIgLz48RW50cnkgVHlwZT0iQnVmZmVyTmV4dFJlZnJlc2giIFZhbHVlPSJsMSIgLz48RW50cnkgVHlwZT0iUmVzdWx0VHlwZSIgVmFsdWU9InNUYWJsZSIgLz48RW50cnkgVHlwZT0iTmFtZVVwZGF0ZWRBZnRlckZpbGwiIFZhbHVlPSJsMCIgLz48RW50cnkgVHlwZT0iRmlsbGVkQ29tcGxldGVSZXN1bHRUb1dvcmtzaGVldCIgVmFsdWU9ImwxIiAvPjxFbnRyeSBUeXBlPSJBZGRlZFRvRGF0YU1vZGVsIiBWYWx1ZT0ibDAiIC8+PEVudHJ5IFR5cGU9IkZpbGxDb3VudCIgVmFsdWU9Imw5IiAvPjxFbnRyeSBUeXBlPSJGaWxsRXJyb3JDb2RlIiBWYWx1ZT0ic1Vua25vd24iIC8+PEVudHJ5IFR5cGU9IkZpbGxFcnJvckNvdW50IiBWYWx1ZT0ibDAiIC8+PEVudHJ5IFR5cGU9IkZpbGxMYXN0VXBkYXRlZCIgVmFsdWU9ImQyMDI2LTA1LTIwVDE3OjE1OjI1LjYxNDUwOTBaIiAvPjxFbnRyeSBUeXBlPSJGaWxsQ29sdW1uVHlwZXMiIFZhbHVlPSJzQmdNREF3TURBdz09IiAvPjxFbnRyeSBUeXBlPSJGaWxsQ29sdW1uTmFtZXMiIFZhbHVlPSJzWyZxdW90O3N0cmF0ZWd5JnF1b3Q7LCZxdW90O2V4dHJlbWVfcG9pbnRzJnF1b3Q7LCZxdW90O2dyZWVkeV9maXJzdF9maXQmcXVvdDssJnF1b3Q7Z3JlZWR5X2xhcmdlc19mYWNlX3VwJnF1b3Q7LCZxdW90O2dyZWVkeV9taW5fc3VtX3NsYWNrJnF1b3Q7LCZxdW90O2dyZWVkeV9ub19yb3RhdGlvbiZxdW90OywmcXVvdDtzaGVsZiZxdW90O10iIC8+PEVudHJ5IFR5cGU9IkZpbGxTdGF0dXMiIFZhbHVlPSJzQ29tcGxldGUiIC8+PEVudHJ5IFR5cGU9IlJlbGF0aW9uc2hpcEluZm9Db250YWluZXIiIFZhbHVlPSJzeyZxdW90O2NvbHVtbkNvdW50JnF1b3Q7OjcsJnF1b3Q7a2V5Q29sdW1uTmFtZXMmcXVvdDs6W10sJnF1b3Q7cXVlcnlSZWxhdGlvbnNoaXBzJnF1b3Q7OltdLCZxdW90O2NvbHVtbklkZW50aXRpZXMmcXVvdDs6WyZxdW90O1NlY3Rpb24xL3Jlc3VsdHNfbWF0cml4ICgzKS9BdXRvUmVtb3ZlZENvbHVtbnMxLntzdHJhdGVneSwwfSZxdW90OywmcXVvdDtTZWN0aW9uMS9yZXN1bHRzX21hdHJpeCAoMykvQXV0b1JlbW92ZWRDb2x1bW5zMS57ZXh0cmVtZV9wb2ludHMsMX0mcXVvdDssJnF1b3Q7U2VjdGlvbjEvcmVzdWx0c19tYXRyaXggKDMpL0F1dG9SZW1vdmVkQ29sdW1uczEue2dyZWVkeV9maXJzdF9maXQsMn0mcXVvdDssJnF1b3Q7U2VjdGlvbjEvcmVzdWx0c19tYXRyaXggKDMpL0F1dG9SZW1vdmVkQ29sdW1uczEue2dyZWVkeV9sYXJnZXNfZmFjZV91cCwzfSZxdW90OywmcXVvdDtTZWN0aW9uMS9yZXN1bHRzX21hdHJpeCAoMykvQXV0b1JlbW92ZWRDb2x1bW5zMS57Z3JlZWR5X21pbl9zdW1fc2xhY2ssNH0mcXVvdDssJnF1b3Q7U2VjdGlvbjEvcmVzdWx0c19tYXRyaXggKDMpL0F1dG9SZW1vdmVkQ29sdW1uczEue2dyZWVkeV9ub19yb3RhdGlvbiw1fSZxdW90OywmcXVvdDtTZWN0aW9uMS9yZXN1bHRzX21hdHJpeCAoMykvQXV0b1JlbW92ZWRDb2x1bW5zMS57c2hlbGYsNn0mcXVvdDtdLCZxdW90O0NvbHVtbkNvdW50JnF1b3Q7OjcsJnF1b3Q7S2V5Q29sdW1uTmFtZXMmcXVvdDs6W10sJnF1b3Q7Q29sdW1uSWRlbnRpdGllcyZxdW90OzpbJnF1b3Q7U2VjdGlvbjEvcmVzdWx0c19tYXRyaXggKDMpL0F1dG9SZW1vdmVkQ29sdW1uczEue3N0cmF0ZWd5LDB9JnF1b3Q7LCZxdW90O1NlY3Rpb24xL3Jlc3VsdHNfbWF0cml4ICgzKS9BdXRvUmVtb3ZlZENvbHVtbnMxLntleHRyZW1lX3BvaW50cywxfSZxdW90OywmcXVvdDtTZWN0aW9uMS9yZXN1bHRzX21hdHJpeCAoMykvQXV0b1JlbW92ZWRDb2x1bW5zMS57Z3JlZWR5X2ZpcnN0X2ZpdCwyfSZxdW90OywmcXVvdDtTZWN0aW9uMS9yZXN1bHRzX21hdHJpeCAoMykvQXV0b1JlbW92ZWRDb2x1bW5zMS57Z3JlZWR5X2xhcmdlc19mYWNlX3VwLDN9JnF1b3Q7LCZxdW90O1NlY3Rpb24xL3Jlc3VsdHNfbWF0cml4ICgzKS9BdXRvUmVtb3ZlZENvbHVtbnMxLntncmVlZHlfbWluX3N1bV9zbGFjayw0fSZxdW90OywmcXVvdDtTZWN0aW9uMS9yZXN1bHRzX21hdHJpeCAoMykvQXV0b1JlbW92ZWRDb2x1bW5zMS57Z3JlZWR5X25vX3JvdGF0aW9uLDV9JnF1b3Q7LCZxdW90O1NlY3Rpb24xL3Jlc3VsdHNfbWF0cml4ICgzKS9BdXRvUmVtb3ZlZENvbHVtbnMxLntzaGVsZiw2fSZxdW90O10sJnF1b3Q7UmVsYXRpb25zaGlwSW5mbyZxdW90OzpbXX0iIC8+PC9TdGFibGVFbnRyaWVzPjwvSXRlbT48SXRlbT48SXRlbUxvY2F0aW9uPjxJdGVtVHlwZT5Gb3JtdWxhPC9JdGVtVHlwZT48SXRlbVBhdGg+U2VjdGlvbjEvcmVzdWx0c19tYXRyaXglMjAoMykvRm9yciVDMyVBMXM8L0l0ZW1QYXRoPjwvSXRlbUxvY2F0aW9uPjxTdGFibGVFbnRyaWVzIC8+PC9JdGVtPjxJdGVtPjxJdGVtTG9jYXRpb24+PEl0ZW1UeXBlPkZvcm11bGE8L0l0ZW1UeXBlPjxJdGVtUGF0aD5TZWN0aW9uMS9yZXN1bHRzX21hdHJpeCUyMCgzKS9FbCVDNSU5MWwlQzMlQTlwdGV0ZXR0JTIwZmVqbCVDMyVBOWNlazwvSXRlbVBhdGg+PC9JdGVtTG9jYXRpb24+PFN0YWJsZUVudHJpZXMgLz48L0l0ZW0+PEl0ZW0+PEl0ZW1Mb2NhdGlvbj48SXRlbVR5cGU+Rm9ybXVsYTwvSXRlbVR5cGU+PEl0ZW1QYXRoPlNlY3Rpb24xL3Jlc3VsdHNfbWF0cml4JTIwKDMpL1QlQzMlQURwdXMlMjBtJUMzJUIzZG9zJUMzJUFEdHZhPC9JdGVtUGF0aD48L0l0ZW1Mb2NhdGlvbj48U3RhYmxlRW50cmllcyAvPjwvSXRlbT48SXRlbT48SXRlbUxvY2F0aW9uPjxJdGVtVHlwZT5Gb3JtdWxhPC9JdGVtVHlwZT48SXRlbVBhdGg+U2VjdGlvbjEvcmVzdWx0c19tYXRyaXglMjAoNCk8L0l0ZW1QYXRoPjwvSXRlbUxvY2F0aW9uPjxTdGFibGVFbnRyaWVzPjxFbnRyeSBUeXBlPSJJc1ByaXZhdGUiIFZhbHVlPSJsMCIgLz48RW50cnkgVHlwZT0iRmlsbEVuYWJsZWQiIFZhbHVlPSJsMSIgLz48RW50cnkgVHlwZT0iRmlsbE9iamVjdFR5cGUiIFZhbHVlPSJzVGFibGUiIC8+PEVudHJ5IFR5cGU9IkZpbGxUb0RhdGFNb2RlbEVuYWJsZWQiIFZhbHVlPSJsMCIgLz48RW50cnkgVHlwZT0iUXVlcnlJRCIgVmFsdWU9InMxNTVkOTRkNi1iYTgzLTQ5YjctYTQ5ZC1mNjExMWI1MmJmNDQiIC8+PEVudHJ5IFR5cGU9IkJ1ZmZlck5leHRSZWZyZXNoIiBWYWx1ZT0ibDEiIC8+PEVudHJ5IFR5cGU9IlJlc3VsdFR5cGUiIFZhbHVlPSJzVGFibGUiIC8+PEVudHJ5IFR5cGU9Ik5hbWVVcGRhdGVkQWZ0ZXJGaWxsIiBWYWx1ZT0ibDAiIC8+PEVudHJ5IFR5cGU9IkZpbGxUYXJnZXQiIFZhbHVlPSJzcmVzdWx0c19tYXRyaXhfXzM1IiAvPjxFbnRyeSBUeXBlPSJGaWxsZWRDb21wbGV0ZVJlc3VsdFRvV29ya3NoZWV0IiBWYWx1ZT0ibDEiIC8+PEVudHJ5IFR5cGU9IkZpbGxFcnJvckNvZGUiIFZhbHVlPSJzVW5rbm93biIgLz48RW50cnkgVHlwZT0iRmlsbEVycm9yQ291bnQiIFZhbHVlPSJsMCIgLz48RW50cnkgVHlwZT0iRmlsbExhc3RVcGRhdGVkIiBWYWx1ZT0iZDIwMjYtMDUtMjBUMTc6MTU6MjUuNjE0NTA5MFoiIC8+PEVudHJ5IFR5cGU9IkZpbGxDb2x1bW5UeXBlcyIgVmFsdWU9InNCZ01EQXdNREF3PT0iIC8+PEVudHJ5IFR5cGU9IkZpbGxDb2x1bW5OYW1lcyIgVmFsdWU9InNbJnF1b3Q7c3RyYXRlZ3kmcXVvdDssJnF1b3Q7ZXh0cmVtZV9wb2ludHMmcXVvdDssJnF1b3Q7Z3JlZWR5X2ZpcnN0X2ZpdCZxdW90OywmcXVvdDtncmVlZHlfbGFyZ2VzX2ZhY2VfdXAmcXVvdDssJnF1b3Q7Z3JlZWR5X21pbl9zdW1fc2xhY2smcXVvdDssJnF1b3Q7Z3JlZWR5X25vX3JvdGF0aW9uJnF1b3Q7LCZxdW90O3NoZWxmJnF1b3Q7XSIgLz48RW50cnkgVHlwZT0iRmlsbFN0YXR1cyIgVmFsdWU9InNDb21wbGV0ZSIgLz48RW50cnkgVHlwZT0iRmlsbENvdW50IiBWYWx1ZT0ibDkiIC8+PEVudHJ5IFR5cGU9IlJlbGF0aW9uc2hpcEluZm9Db250YWluZXIiIFZhbHVlPSJzeyZxdW90O2NvbHVtbkNvdW50JnF1b3Q7OjcsJnF1b3Q7a2V5Q29sdW1uTmFtZXMmcXVvdDs6W10sJnF1b3Q7cXVlcnlSZWxhdGlvbnNoaXBzJnF1b3Q7OltdLCZxdW90O2NvbHVtbklkZW50aXRpZXMmcXVvdDs6WyZxdW90O1NlY3Rpb24xL3Jlc3VsdHNfbWF0cml4ICgzKS9BdXRvUmVtb3ZlZENvbHVtbnMxLntzdHJhdGVneSwwfSZxdW90OywmcXVvdDtTZWN0aW9uMS9yZXN1bHRzX21hdHJpeCAoMykvQXV0b1JlbW92ZWRDb2x1bW5zMS57ZXh0cmVtZV9wb2ludHMsMX0mcXVvdDssJnF1b3Q7U2VjdGlvbjEvcmVzdWx0c19tYXRyaXggKDMpL0F1dG9SZW1vdmVkQ29sdW1uczEue2dyZWVkeV9maXJzdF9maXQsMn0mcXVvdDssJnF1b3Q7U2VjdGlvbjEvcmVzdWx0c19tYXRyaXggKDMpL0F1dG9SZW1vdmVkQ29sdW1uczEue2dyZWVkeV9sYXJnZXNfZmFjZV91cCwzfSZxdW90OywmcXVvdDtTZWN0aW9uMS9yZXN1bHRzX21hdHJpeCAoMykvQXV0b1JlbW92ZWRDb2x1bW5zMS57Z3JlZWR5X21pbl9zdW1fc2xhY2ssNH0mcXVvdDssJnF1b3Q7U2VjdGlvbjEvcmVzdWx0c19tYXRyaXggKDMpL0F1dG9SZW1vdmVkQ29sdW1uczEue2dyZWVkeV9ub19yb3RhdGlvbiw1fSZxdW90OywmcXVvdDtTZWN0aW9uMS9yZXN1bHRzX21hdHJpeCAoMykvQXV0b1JlbW92ZWRDb2x1bW5zMS57c2hlbGYsNn0mcXVvdDtdLCZxdW90O0NvbHVtbkNvdW50JnF1b3Q7OjcsJnF1b3Q7S2V5Q29sdW1uTmFtZXMmcXVvdDs6W10sJnF1b3Q7Q29sdW1uSWRlbnRpdGllcyZxdW90OzpbJnF1b3Q7U2VjdGlvbjEvcmVzdWx0c19tYXRyaXggKDMpL0F1dG9SZW1vdmVkQ29sdW1uczEue3N0cmF0ZWd5LDB9JnF1b3Q7LCZxdW90O1NlY3Rpb24xL3Jlc3VsdHNfbWF0cml4ICgzKS9BdXRvUmVtb3ZlZENvbHVtbnMxLntleHRyZW1lX3BvaW50cywxfSZxdW90OywmcXVvdDtTZWN0aW9uMS9yZXN1bHRzX21hdHJpeCAoMykvQXV0b1JlbW92ZWRDb2x1bW5zMS57Z3JlZWR5X2ZpcnN0X2ZpdCwyfSZxdW90OywmcXVvdDtTZWN0aW9uMS9yZXN1bHRzX21hdHJpeCAoMykvQXV0b1JlbW92ZWRDb2x1bW5zMS57Z3JlZWR5X2xhcmdlc19mYWNlX3VwLDN9JnF1b3Q7LCZxdW90O1NlY3Rpb24xL3Jlc3VsdHNfbWF0cml4ICgzKS9BdXRvUmVtb3ZlZENvbHVtbnMxLntncmVlZHlfbWluX3N1bV9zbGFjayw0fSZxdW90OywmcXVvdDtTZWN0aW9uMS9yZXN1bHRzX21hdHJpeCAoMykvQXV0b1JlbW92ZWRDb2x1bW5zMS57Z3JlZWR5X25vX3JvdGF0aW9uLDV9JnF1b3Q7LCZxdW90O1NlY3Rpb24xL3Jlc3VsdHNfbWF0cml4ICgzKS9BdXRvUmVtb3ZlZENvbHVtbnMxLntzaGVsZiw2fSZxdW90O10sJnF1b3Q7UmVsYXRpb25zaGlwSW5mbyZxdW90OzpbXX0iIC8+PEVudHJ5IFR5cGU9IkxvYWRlZFRvQW5hbHlzaXNTZXJ2aWNlcyIgVmFsdWU9ImwwIiAvPjxFbnRyeSBUeXBlPSJBZGRlZFRvRGF0YU1vZGVsIiBWYWx1ZT0ibDAiIC8+PC9TdGFibGVFbnRyaWVzPjwvSXRlbT48SXRlbT48SXRlbUxvY2F0aW9uPjxJdGVtVHlwZT5Gb3JtdWxhPC9JdGVtVHlwZT48SXRlbVBhdGg+U2VjdGlvbjEvcmVzdWx0c19tYXRyaXglMjAoNCkvRm9yciVDMyVBMXM8L0l0ZW1QYXRoPjwvSXRlbUxvY2F0aW9uPjxTdGFibGVFbnRyaWVzIC8+PC9JdGVtPjxJdGVtPjxJdGVtTG9jYXRpb24+PEl0ZW1UeXBlPkZvcm11bGE8L0l0ZW1UeXBlPjxJdGVtUGF0aD5TZWN0aW9uMS9yZXN1bHRzX21hdHJpeCUyMCg0KS9FbCVDNSU5MWwlQzMlQTlwdGV0ZXR0JTIwZmVqbCVDMyVBOWNlazwvSXRlbVBhdGg+PC9JdGVtTG9jYXRpb24+PFN0YWJsZUVudHJpZXMgLz48L0l0ZW0+PEl0ZW0+PEl0ZW1Mb2NhdGlvbj48SXRlbVR5cGU+Rm9ybXVsYTwvSXRlbVR5cGU+PEl0ZW1QYXRoPlNlY3Rpb24xL3Jlc3VsdHNfbWF0cml4JTIwKDQpL1QlQzMlQURwdXMlMjBtJUMzJUIzZG9zJUMzJUFEdHZhPC9JdGVtUGF0aD48L0l0ZW1Mb2NhdGlvbj48U3RhYmxlRW50cmllcyAvPjwvSXRlbT48L0l0ZW1zPjwvTG9jYWxQYWNrYWdlTWV0YWRhdGFGaWxlPhYAAABQSwUGAAAAAAAAAAAAAAAAAAAAAAAAJgEAAAEAAADQjJ3fARXREYx6AMBPwpfrAQAAAPZmepD7r8xHq24BCFfIAs0AAAAAAgAAAAAAEGYAAAABAAAgAAAAR/2aGm+qnDvVudUl7SsryipvSuhTMVvLkz0PjV+Y0NIAAAAADoAAAAACAAAgAAAA1kMLNN5OET2Jx4B5kQ+Aj3+bRLTtdAWRkO6EAghg4oZQAAAAFTGgabQpQfPcDdu4rH7D3GVyhIn6uMwdok4mVGA2qy7L/tPvRg815aIG6qJL1Cd9XM4xdQvecRDeuTzYkXV760G+6pdnt61R9e6ctr7cSjJAAAAAqabx5IURQOfRtpPVFJD7JljiK7NsdcrV2l9FExaHEuNHCAYvMkUbBTt5PC/wWGdI7TnYAdW1B98AOW/EBCeQuw==</DataMashup>
</file>

<file path=customXml/itemProps1.xml><?xml version="1.0" encoding="utf-8"?>
<ds:datastoreItem xmlns:ds="http://schemas.openxmlformats.org/officeDocument/2006/customXml" ds:itemID="{1B169A37-8744-42F2-AD01-73DA76F16EF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156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2026-05-15T10:06:33Z</dcterms:created>
  <dc:creator>Blahota Marcell</dc:creator>
  <dc:description/>
  <dc:language>hu-HU</dc:language>
  <cp:lastModifiedBy/>
  <dcterms:modified xsi:type="dcterms:W3CDTF">2026-05-29T02:18:08Z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